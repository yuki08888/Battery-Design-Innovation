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Z629252\Downloads\"/>
    </mc:Choice>
  </mc:AlternateContent>
  <xr:revisionPtr revIDLastSave="0" documentId="8_{F75DF4AF-E707-4317-A530-4BFE73230250}" xr6:coauthVersionLast="47" xr6:coauthVersionMax="47" xr10:uidLastSave="{00000000-0000-0000-0000-000000000000}"/>
  <bookViews>
    <workbookView xWindow="28680" yWindow="-120" windowWidth="29040" windowHeight="15720" tabRatio="752" xr2:uid="{39D55537-4DDD-4167-8CE4-2358251C0071}"/>
  </bookViews>
  <sheets>
    <sheet name="システム要求" sheetId="1" r:id="rId1"/>
    <sheet name="熱拡散防止サブシステム要求" sheetId="11" r:id="rId2"/>
    <sheet name="部品要求マトリクス（熱拡散サブシステム）" sheetId="3" r:id="rId3"/>
    <sheet name="相関性マトリクス" sheetId="7" r:id="rId4"/>
    <sheet name="相関性リスト" sheetId="8" r:id="rId5"/>
    <sheet name="他システム影響" sheetId="9" r:id="rId6"/>
    <sheet name="他システム" sheetId="10" r:id="rId7"/>
    <sheet name="類似ID抽出" sheetId="12" r:id="rId8"/>
    <sheet name="類似ID抽出_CD" sheetId="13" r:id="rId9"/>
    <sheet name="【0917】会議" sheetId="15" r:id="rId10"/>
  </sheets>
  <definedNames>
    <definedName name="_xlnm._FilterDatabase" localSheetId="0" hidden="1">システム要求!$A$3:$N$3</definedName>
    <definedName name="_xlnm._FilterDatabase" localSheetId="1" hidden="1">熱拡散防止サブシステム要求!$A$7:$BA$73</definedName>
    <definedName name="_xlnm._FilterDatabase" localSheetId="7" hidden="1">類似ID抽出!$A$4:$G$20</definedName>
    <definedName name="_xlnm._FilterDatabase" localSheetId="8" hidden="1">類似ID抽出_CD!$A$4:$F$18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7" i="1" l="1"/>
  <c r="A19" i="1"/>
  <c r="A20" i="1"/>
  <c r="A16" i="1"/>
  <c r="A18" i="1"/>
  <c r="A48" i="11"/>
  <c r="A46" i="11"/>
  <c r="AU28" i="11"/>
  <c r="A73" i="11"/>
  <c r="A72" i="11"/>
  <c r="A71" i="11"/>
  <c r="AU70" i="11"/>
  <c r="AU69" i="11"/>
  <c r="AU68" i="11"/>
  <c r="AU67" i="11"/>
  <c r="AU66" i="11"/>
  <c r="AU65" i="11"/>
  <c r="AU64" i="11"/>
  <c r="AU63" i="11"/>
  <c r="AU62" i="11"/>
  <c r="AU61" i="11"/>
  <c r="AU60" i="11"/>
  <c r="AU59" i="11"/>
  <c r="AU58" i="11"/>
  <c r="AU57" i="11"/>
  <c r="AU56" i="11"/>
  <c r="AU55" i="11"/>
  <c r="AU54" i="11"/>
  <c r="AU53" i="11"/>
  <c r="AU52" i="11"/>
  <c r="AU51" i="11"/>
  <c r="AU50" i="11"/>
  <c r="AU49" i="11"/>
  <c r="AU48" i="11"/>
  <c r="AU47" i="11"/>
  <c r="AU46" i="11"/>
  <c r="AU45" i="11"/>
  <c r="AU44" i="11"/>
  <c r="AU43" i="11"/>
  <c r="AU42" i="11"/>
  <c r="AU41" i="11"/>
  <c r="AU40" i="11"/>
  <c r="AU39" i="11"/>
  <c r="AU38" i="11"/>
  <c r="AU37" i="11"/>
  <c r="AU36" i="11"/>
  <c r="AU35" i="11"/>
  <c r="AU34" i="11"/>
  <c r="AU33" i="11"/>
  <c r="AU32" i="11"/>
  <c r="AU31" i="11"/>
  <c r="AU30" i="11"/>
  <c r="AU29" i="11"/>
  <c r="AU27" i="11"/>
  <c r="AU26" i="11"/>
  <c r="AU25" i="11"/>
  <c r="AU24" i="11"/>
  <c r="AU23" i="11"/>
  <c r="AU22" i="11"/>
  <c r="AU21" i="11"/>
  <c r="AU20" i="11"/>
  <c r="AU19" i="11"/>
  <c r="AU18" i="11"/>
  <c r="AU17" i="11"/>
  <c r="AU16" i="11"/>
  <c r="AU15" i="11"/>
  <c r="AU14" i="11"/>
  <c r="AU13" i="11"/>
  <c r="AU12" i="11"/>
  <c r="AU11" i="11"/>
  <c r="AU10" i="11"/>
  <c r="AU9" i="11"/>
  <c r="AU8" i="11"/>
  <c r="A39" i="1"/>
  <c r="A40" i="1"/>
  <c r="A26" i="11"/>
  <c r="A27" i="11"/>
  <c r="A28" i="11"/>
  <c r="A29" i="11"/>
  <c r="A30" i="11"/>
  <c r="A31" i="11"/>
  <c r="A32" i="11"/>
  <c r="A33" i="11"/>
  <c r="A34" i="11"/>
  <c r="A35" i="11"/>
  <c r="A36" i="11"/>
  <c r="A37" i="11"/>
  <c r="A38" i="11"/>
  <c r="A39" i="11"/>
  <c r="A40" i="11"/>
  <c r="A41" i="11"/>
  <c r="A42" i="11"/>
  <c r="A43" i="11"/>
  <c r="A44" i="11"/>
  <c r="A45" i="11"/>
  <c r="A47" i="11"/>
  <c r="A49" i="11"/>
  <c r="A50" i="11"/>
  <c r="A51" i="11"/>
  <c r="A52" i="11"/>
  <c r="A53" i="11"/>
  <c r="A54" i="11"/>
  <c r="A55" i="11"/>
  <c r="A56" i="11"/>
  <c r="A57" i="11"/>
  <c r="A58" i="11"/>
  <c r="A59" i="11"/>
  <c r="A60" i="11"/>
  <c r="A61" i="11"/>
  <c r="A62" i="11"/>
  <c r="A63" i="11"/>
  <c r="A64" i="11"/>
  <c r="A65" i="11"/>
  <c r="A66" i="11"/>
  <c r="A67" i="11"/>
  <c r="A68" i="11"/>
  <c r="A69" i="11"/>
  <c r="A70" i="11"/>
  <c r="A9" i="11"/>
  <c r="A10" i="11"/>
  <c r="A11" i="11"/>
  <c r="A12" i="11"/>
  <c r="A13" i="11"/>
  <c r="A14" i="11"/>
  <c r="A15" i="11"/>
  <c r="A16" i="11"/>
  <c r="A17" i="11"/>
  <c r="A18" i="11"/>
  <c r="A19" i="11"/>
  <c r="A20" i="11"/>
  <c r="A21" i="11"/>
  <c r="A22" i="11"/>
  <c r="A23" i="11"/>
  <c r="A24" i="11"/>
  <c r="A25" i="11"/>
  <c r="A8" i="11"/>
  <c r="A42" i="1"/>
  <c r="A44" i="1"/>
  <c r="A35" i="1"/>
  <c r="A36" i="1"/>
  <c r="A37" i="1"/>
  <c r="A34" i="1"/>
  <c r="A41" i="1"/>
  <c r="A38" i="1"/>
  <c r="A43" i="1"/>
  <c r="A7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33" i="1"/>
  <c r="A32" i="1"/>
  <c r="A31" i="1"/>
  <c r="A30" i="1"/>
  <c r="A29" i="1"/>
  <c r="A28" i="1"/>
  <c r="A27" i="1"/>
  <c r="A26" i="1"/>
  <c r="A25" i="1"/>
  <c r="A24" i="1"/>
  <c r="A23" i="1"/>
  <c r="A22" i="1"/>
  <c r="A21" i="1"/>
  <c r="A9" i="1"/>
  <c r="A8" i="1"/>
  <c r="A7" i="1"/>
  <c r="A6" i="1"/>
  <c r="A5" i="1"/>
  <c r="A4" i="1"/>
  <c r="C14" i="9" l="1"/>
  <c r="C15" i="9"/>
  <c r="C4" i="9"/>
  <c r="C16" i="9"/>
  <c r="C5" i="9"/>
  <c r="C17" i="9"/>
  <c r="C6" i="9"/>
  <c r="C18" i="9"/>
  <c r="C7" i="9"/>
  <c r="C19" i="9"/>
  <c r="C8" i="9"/>
  <c r="C20" i="9"/>
  <c r="C9" i="9"/>
  <c r="C21" i="9"/>
  <c r="C10" i="9"/>
  <c r="C22" i="9"/>
  <c r="C11" i="9"/>
  <c r="C23" i="9"/>
  <c r="C12" i="9"/>
  <c r="C24" i="9"/>
  <c r="C65" i="9"/>
  <c r="C13" i="9"/>
  <c r="C30" i="9"/>
  <c r="C42" i="9"/>
  <c r="C54" i="9"/>
  <c r="C31" i="9"/>
  <c r="C43" i="9"/>
  <c r="C55" i="9"/>
  <c r="C32" i="9"/>
  <c r="C44" i="9"/>
  <c r="C56" i="9"/>
  <c r="C33" i="9"/>
  <c r="C45" i="9"/>
  <c r="C57" i="9"/>
  <c r="C34" i="9"/>
  <c r="C46" i="9"/>
  <c r="C58" i="9"/>
  <c r="C35" i="9"/>
  <c r="C47" i="9"/>
  <c r="C59" i="9"/>
  <c r="C36" i="9"/>
  <c r="C48" i="9"/>
  <c r="C60" i="9"/>
  <c r="C25" i="9"/>
  <c r="C37" i="9"/>
  <c r="C49" i="9"/>
  <c r="C61" i="9"/>
  <c r="C26" i="9"/>
  <c r="C38" i="9"/>
  <c r="C50" i="9"/>
  <c r="C62" i="9"/>
  <c r="C27" i="9"/>
  <c r="C39" i="9"/>
  <c r="C51" i="9"/>
  <c r="C63" i="9"/>
  <c r="C28" i="9"/>
  <c r="C40" i="9"/>
  <c r="C52" i="9"/>
  <c r="C64" i="9"/>
  <c r="C29" i="9"/>
  <c r="C41" i="9"/>
  <c r="C53" i="9"/>
  <c r="A6" i="3" a="1"/>
  <c r="A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Ohira, Yuki/大平 雄貴</author>
    <author>tc={E74D4C3C-F280-4F1D-972E-D44E73B25A63}</author>
  </authors>
  <commentList>
    <comment ref="AF10" authorId="0" shapeId="0" xr:uid="{ED8D6A15-9630-4794-8EF5-B0E1F04201CA}">
      <text>
        <r>
          <rPr>
            <b/>
            <sz val="9"/>
            <color indexed="81"/>
            <rFont val="MS P ゴシック"/>
            <family val="3"/>
            <charset val="128"/>
          </rPr>
          <t>Ohira, Yuki/大平 雄貴:</t>
        </r>
        <r>
          <rPr>
            <sz val="9"/>
            <color indexed="81"/>
            <rFont val="MS P ゴシック"/>
            <family val="3"/>
            <charset val="128"/>
          </rPr>
          <t xml:space="preserve">
ここは絶縁カバー機能で担保</t>
        </r>
      </text>
    </comment>
    <comment ref="AF11" authorId="0" shapeId="0" xr:uid="{CF6205A7-EE74-4719-9FAA-6343ECD195FB}">
      <text>
        <r>
          <rPr>
            <b/>
            <sz val="9"/>
            <color indexed="81"/>
            <rFont val="MS P ゴシック"/>
            <family val="3"/>
            <charset val="128"/>
          </rPr>
          <t>Ohira, Yuki/大平 雄貴:</t>
        </r>
        <r>
          <rPr>
            <sz val="9"/>
            <color indexed="81"/>
            <rFont val="MS P ゴシック"/>
            <family val="3"/>
            <charset val="128"/>
          </rPr>
          <t xml:space="preserve">
ここは絶縁カバー機能で担保</t>
        </r>
      </text>
    </comment>
    <comment ref="AF16" authorId="0" shapeId="0" xr:uid="{C515F67D-0E3E-4AF4-B1C0-836D831B1590}">
      <text>
        <r>
          <rPr>
            <b/>
            <sz val="9"/>
            <color indexed="81"/>
            <rFont val="MS P ゴシック"/>
            <family val="3"/>
            <charset val="128"/>
          </rPr>
          <t>Ohira, Yuki/大平 雄貴:</t>
        </r>
        <r>
          <rPr>
            <sz val="9"/>
            <color indexed="81"/>
            <rFont val="MS P ゴシック"/>
            <family val="3"/>
            <charset val="128"/>
          </rPr>
          <t xml:space="preserve">
絶縁カバー要件にて担保</t>
        </r>
      </text>
    </comment>
    <comment ref="S18" authorId="1" shapeId="0" xr:uid="{E74D4C3C-F280-4F1D-972E-D44E73B25A6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黄色塗は関連要素のため精査必要
</t>
      </text>
    </comment>
    <comment ref="AF22" authorId="0" shapeId="0" xr:uid="{9AA54E05-6A0A-416B-8DAD-927EFE13009A}">
      <text>
        <r>
          <rPr>
            <b/>
            <sz val="9"/>
            <color indexed="81"/>
            <rFont val="MS P ゴシック"/>
            <family val="3"/>
            <charset val="128"/>
          </rPr>
          <t>Ohira, Yuki/大平 雄貴:BBMの機能としてなしです。</t>
        </r>
        <r>
          <rPr>
            <sz val="9"/>
            <color indexed="81"/>
            <rFont val="MS P ゴシック"/>
            <family val="3"/>
            <charset val="128"/>
          </rPr>
          <t xml:space="preserve">
</t>
        </r>
      </text>
    </comment>
    <comment ref="AF26" authorId="0" shapeId="0" xr:uid="{55EB5D71-03A5-4355-BDB0-DDF3CE589A09}">
      <text>
        <r>
          <rPr>
            <b/>
            <sz val="9"/>
            <color indexed="81"/>
            <rFont val="MS P ゴシック"/>
            <family val="3"/>
            <charset val="128"/>
          </rPr>
          <t>Ohira, Yuki/大平 雄貴:</t>
        </r>
        <r>
          <rPr>
            <sz val="9"/>
            <color indexed="81"/>
            <rFont val="MS P ゴシック"/>
            <family val="3"/>
            <charset val="128"/>
          </rPr>
          <t xml:space="preserve">
ここBBM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<sst xmlns="http://schemas.openxmlformats.org/spreadsheetml/2006/main" count="2232" uniqueCount="1108">
  <si>
    <t>電池性能 要求マトリクス（MBSE用）</t>
    <phoneticPr fontId="6"/>
  </si>
  <si>
    <t>※「項目」列を入力すると ID（BAT-001…）が自動採番されます。行はデータ入力に応じて下方向へ追加してください。</t>
  </si>
  <si>
    <t>ID</t>
  </si>
  <si>
    <t>項目</t>
    <phoneticPr fontId="6"/>
  </si>
  <si>
    <t>中項目</t>
    <phoneticPr fontId="6"/>
  </si>
  <si>
    <t>ステークホルダーニーズ/システム機能</t>
  </si>
  <si>
    <t>設定の背景</t>
    <rPh sb="0" eb="2">
      <t>セッテイ</t>
    </rPh>
    <rPh sb="3" eb="5">
      <t>ハイケイ</t>
    </rPh>
    <phoneticPr fontId="6"/>
  </si>
  <si>
    <t>ステータス</t>
    <phoneticPr fontId="6"/>
  </si>
  <si>
    <t>優先度</t>
    <phoneticPr fontId="6"/>
  </si>
  <si>
    <t>条件</t>
    <rPh sb="0" eb="2">
      <t>ジョウケン</t>
    </rPh>
    <phoneticPr fontId="6"/>
  </si>
  <si>
    <t>システム要求値</t>
    <rPh sb="4" eb="7">
      <t>ヨウキュウチ</t>
    </rPh>
    <phoneticPr fontId="6"/>
  </si>
  <si>
    <t>考え方（根拠）</t>
  </si>
  <si>
    <t>上位要求ID</t>
  </si>
  <si>
    <t>検証方法</t>
  </si>
  <si>
    <t>備考</t>
  </si>
  <si>
    <t>情報元（出典資料）</t>
  </si>
  <si>
    <t>電気安全性能</t>
  </si>
  <si>
    <t>全体目標（K）</t>
  </si>
  <si>
    <t>K-4 高電圧安全・絶縁</t>
  </si>
  <si>
    <t>20260402_解析力向上_素性・開発効率向上_V02_展開資料5.pdf / 250321_プロ検_年度まとめ.pptx / 【部長級】将来BEV_電池×システム先行開発連携.pptx</t>
  </si>
  <si>
    <t>高電圧安全・絶縁</t>
  </si>
  <si>
    <t>BS20 絶縁抵抗性能：高電圧回路とシャーシグラウンド間の絶縁要求</t>
  </si>
  <si>
    <t>20260402_解析力向上_素性・開発効率向上_V02_展開資料5.pdf</t>
  </si>
  <si>
    <t>BS21 絶縁耐力性能：高電圧印加時の絶縁破壊耐性</t>
  </si>
  <si>
    <t>BS22 高圧接触保護構造：感電防止の物理保護構造（IPXXB等）</t>
  </si>
  <si>
    <t>BS23 絶縁距離性能：沿面距離・空間距離の安全基準</t>
  </si>
  <si>
    <t>BS18 外部短絡安全性性能：外部短絡時の耐性と安全性</t>
  </si>
  <si>
    <t>BAT-007</t>
  </si>
  <si>
    <t>外部短絡</t>
  </si>
  <si>
    <t>法規(AIS-038 Rev.2)を満足させる</t>
  </si>
  <si>
    <t>短絡電流によって発生する重大事象を防止するための短絡保護機能の有効性を確認する</t>
  </si>
  <si>
    <t>本試験は、完成車、完全REESS、またはREESSサブシステムのいずれかを用いて実施する。
(a) 環境温度20 ± 10 ℃、またはメーカーが要請より高い温度で実施。
(b) SOCは 外部充電可能なREESS≧SOC 95% 車両内発電REESS ≧ 90%
(c) すべての保護装置は作動可能な状態である。
(d) 完成車試験ではブレークアウトハーネスを接続して試験してもよい。
接続する抵抗は5 mΩ以下。
保護機能が作動し短絡電流を停止、もしくはREESS外部温度変化が2時間で4℃未満になるまで、短絡状態は1時間は継続する。
試験手順終了後、試験環境温度下で1h観察。</t>
  </si>
  <si>
    <t>試験中、REESSの電解液漏れ、破裂、ベント(開放形駆動用電池以外のREESS)、火災または爆発の証拠があってはならない。
高電圧REESSについては、試験後に測定した絶縁抵抗が100 Ω/Volt以上。</t>
  </si>
  <si>
    <t>Base Reg: UN R100, GTR 20 (Phase 1)</t>
  </si>
  <si>
    <t>SH25-0080.pdf
6.6 / Annexure-IX-F</t>
  </si>
  <si>
    <t>BAT-008</t>
  </si>
  <si>
    <t>外部短絡保護</t>
  </si>
  <si>
    <t>法規(GB38031-2025)を満足させる</t>
  </si>
  <si>
    <t>外部短絡保護機能を備え、短絡時の安全要求を満足する。
人体と財産の安全保護を提供するため。
2020年版から外部短絡保護の安全要求を変更。</t>
  </si>
  <si>
    <t>完全REESS試験
(a) 20℃±10℃或いはメーカーが要求より高い温度で実施。
(b) あらゆる保護設備は正常な運行状態。
(c) 短絡抵抗は、5mΩを超えない。
(d) 短絡の状態を保持し、下記のいずれかの条件に適合した場合、試験を終了。
・試験対象の保護機能が働き、短絡電流を切断。
・ハウジングの温度が安定した（温度変化は2h内で4℃を下回る）後、短絡を少なくとも1h維持した。
(e)試験手順終了後、試験環境温度下で1h観察。
SOC条件: 特別な規定がない限り、試験対象はすべて製造メーカーが規定した完全充電の状態でテスト
を行う。(6.1.10)</t>
    <rPh sb="7" eb="9">
      <t>シケン</t>
    </rPh>
    <phoneticPr fontId="6"/>
  </si>
  <si>
    <t>漏洩、ハウジング破裂、着火或いは爆発の現象が発生してはならない。
試験後の絶縁抵抗は100Ω/V以上。交流回路がある場合、絶縁抵抗は500Ω/V以上。</t>
  </si>
  <si>
    <t>セル試験: 5.1.3 / 8.1.4 / 8.1.8(急速充電300回)
車両試験: 外部短絡対象外
REESSサブシステム代用可能 (6.1.6):
・完成車要求に関わるすべての部分を含む
・電池管理システムを含めてよい
・テスト結果が電池パックまたはシステムの同条件下の安全性能を代表できることを証明すること</t>
    <rPh sb="2" eb="4">
      <t>シケン</t>
    </rPh>
    <rPh sb="28" eb="32">
      <t>キュウソクジュウデン</t>
    </rPh>
    <rPh sb="35" eb="36">
      <t>カイ</t>
    </rPh>
    <rPh sb="38" eb="40">
      <t>シャリョウ</t>
    </rPh>
    <rPh sb="40" eb="42">
      <t>シケン</t>
    </rPh>
    <rPh sb="44" eb="48">
      <t>ガイブタンラク</t>
    </rPh>
    <rPh sb="48" eb="50">
      <t>タイショウ</t>
    </rPh>
    <rPh sb="50" eb="51">
      <t>ガイ</t>
    </rPh>
    <rPh sb="64" eb="66">
      <t>ダイヨウ</t>
    </rPh>
    <rPh sb="66" eb="68">
      <t>カノウ</t>
    </rPh>
    <phoneticPr fontId="6"/>
  </si>
  <si>
    <t>GB 38031-2025 電動自動車用動力蓄電池安全要求 発布稿 JP.pdf / 5.2.13 / 8.2.13</t>
  </si>
  <si>
    <t>BAT-009</t>
  </si>
  <si>
    <t>法規(KMVSS 48)を満足させる</t>
  </si>
  <si>
    <t>外部短絡の条件下でREESSの安全性を確認する</t>
  </si>
  <si>
    <t>本試験は、完成車、完全REESS、またはREESSサブシステムのいずれかを用いて実施する。
(a) 293K±10K (20℃±10℃) またはメーカー要請の際、さらに高い温度で実施する。
(b) SOC 外部充電可能なREESS≧ 95% 車両内発電REESS ≧ 90%
(c) 試験結果に影響を与えるすべての保護装置は作動可能な状態とする。
(d) 車両試験の場合ブレイクアウトハーネスを接続し車両保護システムが作動可能な状態とする。
(e) 短絡誘発回路の抵抗は5 mΩ以下。
(f) 保護機能が作動し短絡電流を停止もしくはREESS外部温度変化が2時間で4℃未満になるまで、短絡状態は1時間は継続する
(g) 試験は常温条件で1時間観察後、終了
(Detail KMVSS 48.7)</t>
  </si>
  <si>
    <t>試験中、試験対象装置に破裂、電解液漏れ、ベンティング、火災または爆発がないこと。
漏れやベントの証拠は分解せず目視で確認。
試験後、測定した絶縁抵抗は100Ω/V以上。</t>
  </si>
  <si>
    <t>　</t>
  </si>
  <si>
    <t>DK048.pdf [Table 1] No. 48 / 48.5.2 Procedures for SOC adjustment, 48.7.4 Short circuit test</t>
  </si>
  <si>
    <t>BAT-010</t>
  </si>
  <si>
    <t>法規(FMVSS305a)を満足させる</t>
  </si>
  <si>
    <t>通常運転時および衝突中・衝突後に有害な感電、火災、爆発、ガス放出から保護する。</t>
  </si>
  <si>
    <r>
      <rPr>
        <sz val="9"/>
        <color rgb="FFFF0000"/>
        <rFont val="游ゴシック"/>
        <family val="3"/>
        <charset val="128"/>
      </rPr>
      <t>車両レベル試験</t>
    </r>
    <r>
      <rPr>
        <sz val="9"/>
        <color rgb="FF000000"/>
        <rFont val="游ゴシック"/>
        <family val="3"/>
        <charset val="128"/>
      </rPr>
      <t>、初期SOCを90～95％、常温環境
(a) REESSにブレークアウトハーネスを接続する。
(b) REESS温度の変化を監視するため、REESS外側ケーシングに温度プローブを接続
      （温度測定は、REESSの制御モジュールと通信することで得られる場合もある）
(c) REESSの作動を管理する車両制御装置へ電力を供給する車両スイッチまたは装置を作動位置に設定する。
(d) 短絡接触器を開位置としてブレークアウトハーネスに接続する。
      外部短絡を発生させる装置（短絡接触器およびブレークアウトハーネス）の総抵抗は2～5 mΩ
(e) 短絡接触器を閉じ、短絡開始
(f) 短絡状態は短絡電流が止まるか短絡開始から2時間以内にREESSの温度勾配が4℃未満になる
(h)短絡電流停止後、車両を1時間観察
(FMVSS305a / S12.5)</t>
    </r>
  </si>
  <si>
    <t>(a) 試験中、車両を分解しない目視検査により確認したREESSの電解液漏れ、破裂、ベント、火災または爆発の証拠があってはならない。
(b) 試験後に測定した高電圧源の絶縁抵抗は、本基準のS7.2に従って決定した場合、100 ohms/volt未満であってはならない。
(FMVSS305a / S11.1)</t>
  </si>
  <si>
    <t>短絡抵抗は2〜5mΩと下限あり。UN R100・GB38031と異なり温度安定後の1h継続なし</t>
    <phoneticPr fontId="6"/>
  </si>
  <si>
    <t>FMVSS305a / S11.1, S12.5
SH25-0018</t>
    <phoneticPr fontId="6"/>
  </si>
  <si>
    <t>BAT-011</t>
  </si>
  <si>
    <t>法規(UN-R-100)を満足させる</t>
  </si>
  <si>
    <t>短絡保護性能を検証すること。
外部短絡電流によるREESSのさらなる重大事象を防ぐこと（UN-R-100 附則9F）</t>
    <phoneticPr fontId="6"/>
  </si>
  <si>
    <r>
      <t>完全REESSまたは電池および電気結線を含む関連するREESSサブシステムのいずれかを用いて実施する。
REESS サブシステムを選択した場合、テスト対象装置は完全 REESS の公称電圧を供給できるものとする。
(a) 周囲温度20 ± 10 ℃、またはメーカーの要請より高い温度で実施。
(b) SOC BEV/PHEV：95%以上／HEV：90%以上。
(c) すべての保護装置は作動可能。
(d)接続する抵抗は5 mΩ以下とする。
(e)保護機能が作動し短絡電流を停止、もしくはケーシング上温度変化が安定してから</t>
    </r>
    <r>
      <rPr>
        <sz val="9"/>
        <rFont val="游ゴシック"/>
        <family val="3"/>
        <charset val="128"/>
      </rPr>
      <t>2時間で4℃未満</t>
    </r>
    <r>
      <rPr>
        <sz val="9"/>
        <color rgb="FF000000"/>
        <rFont val="游ゴシック"/>
        <family val="3"/>
        <charset val="128"/>
      </rPr>
      <t>になるまで、短絡状態は1時間は継続する
(f)試験手順終了後、試験環境温度下で1h観察。(UN-R-100 附則9 - 付録2 / 附則9F)</t>
    </r>
    <rPh sb="328" eb="330">
      <t>フロク</t>
    </rPh>
    <rPh sb="334" eb="336">
      <t>フソク</t>
    </rPh>
    <phoneticPr fontId="6"/>
  </si>
  <si>
    <t>以下の証拠がないものとする。(UN-R-100 6.6 外部短絡保護)
(a) 電解液漏れ、(b) 破裂（高電圧REESSに限り適用する）、(c) ベント、(d) 火炎、(e) 爆発。
電解液漏れの証拠は、テスト対象装置のいかなる部品も分解せず、目視検査によって検証する
高電圧REESSについては、テスト後に測定した絶縁抵抗が100 Ω／V以上とする。</t>
    <phoneticPr fontId="6"/>
  </si>
  <si>
    <t>UN No.100 5 / 6.6 / 附則9F</t>
    <phoneticPr fontId="6"/>
  </si>
  <si>
    <t>BAT-012</t>
  </si>
  <si>
    <t>法規(SASO + GSO ECE 100)を満足させる</t>
    <phoneticPr fontId="6"/>
  </si>
  <si>
    <t>電気自動車やその部品の安全面を確保し、バッテリーからの電気漏れやバッテリー部品の乗客室への漏れによって起こりうる事故、死亡、感電の可能性を最小限にすること(SASO Annex2)</t>
  </si>
  <si>
    <t>SASOは独自試験なし
UN R100(=GSO ECE 100)/FMVSS 305aを参照する構造</t>
    <phoneticPr fontId="6"/>
  </si>
  <si>
    <t>SASO法規原文(英語)_2026.pdf, GSO法規原文(日本語訳)_2026.pdf</t>
  </si>
  <si>
    <t>法規(UAE.S + GSO ECE 100)を満足させる</t>
    <phoneticPr fontId="6"/>
  </si>
  <si>
    <t>駆動用電池からの電解液漏れ、駆動用電池システム部品の乗員室への侵入、および感電に起因して、衝突時・感電時に発生する死亡および傷害を低減するもの</t>
    <phoneticPr fontId="6"/>
  </si>
  <si>
    <t>UAEは独自試験なし
UN R100(=GSO ECE 100)/FMVSS 305aを参照する構造</t>
    <phoneticPr fontId="6"/>
  </si>
  <si>
    <t>UAE法規原文(英語)_2026.pdf, GSO法規原文(日本語訳)_2026.pdf</t>
  </si>
  <si>
    <t>QCVN 09:2024を満足させる</t>
    <rPh sb="13" eb="15">
      <t>マンゾク</t>
    </rPh>
    <phoneticPr fontId="6"/>
  </si>
  <si>
    <t>ベトナム向け型式認証（VR：Vietnam Register）への適合のため。
短絡電流によって発生する重大事象を防止するための短絡保護機能の有効性を確認する。</t>
    <phoneticPr fontId="6"/>
  </si>
  <si>
    <t>QCVN独自の外部短絡試験・判定値は無く、2.34.1.4でUN R100 第2部を全面参照する構造</t>
    <phoneticPr fontId="6"/>
  </si>
  <si>
    <t xml:space="preserve">QCVN 09:2024/BGTVT 2.34.1.4 </t>
    <phoneticPr fontId="6"/>
  </si>
  <si>
    <t>ISO 6469-1を満たす
RESSは動作状態での外部短絡に対し、導体の耐短絡電流定格または過電流保護によって安全性能を提供する。</t>
  </si>
  <si>
    <t>短絡電流による導体損傷および危険事象を防止するため。</t>
  </si>
  <si>
    <r>
      <t>試験体 (DUT)：</t>
    </r>
    <r>
      <rPr>
        <sz val="9"/>
        <color rgb="FFFF0000"/>
        <rFont val="游ゴシック"/>
        <family val="3"/>
        <charset val="128"/>
      </rPr>
      <t>RESS または RESS サブシステムに適用(6.1.1)</t>
    </r>
    <r>
      <rPr>
        <sz val="9"/>
        <color rgb="FF000000"/>
        <rFont val="游ゴシック"/>
        <family val="3"/>
      </rPr>
      <t xml:space="preserve">
顧客とサプライヤが合意した通常運用時の最大SOCに設定(6.1.4)
RESS サブシステムを試験する場合は、設計意図どおりの過電流保護を試験体に含めること。
外部短絡の接続抵抗は 5 mΩ 以下として試験を実施する。
次のいずれかを満たした時点で試験を終了する。
・短絡保護機能が短絡電流を遮断したとき。
・1 時間の期間内で温度変化が 4 K 未満となったとき。
・試験体に内部温度計測が存在し動作している場合はそれを用い、ない場合は筐体温度を計測する。
試験は、顧客とサプライヤの合意により、6.1.4 に示す周囲温度より高い温度で実施してもよい。
試験後観察期間を1時間とする(6.1.1)
</t>
    </r>
    <rPh sb="41" eb="43">
      <t>コキャク</t>
    </rPh>
    <rPh sb="50" eb="52">
      <t>ゴウイ</t>
    </rPh>
    <rPh sb="54" eb="59">
      <t>ツウジョウウンヨウジ</t>
    </rPh>
    <rPh sb="60" eb="62">
      <t>サイダイ</t>
    </rPh>
    <rPh sb="66" eb="68">
      <t>セッテイ</t>
    </rPh>
    <rPh sb="322" eb="325">
      <t>シケンゴ</t>
    </rPh>
    <rPh sb="325" eb="329">
      <t>カンサツキカン</t>
    </rPh>
    <rPh sb="331" eb="333">
      <t>ジカン</t>
    </rPh>
    <phoneticPr fontId="6"/>
  </si>
  <si>
    <t>漏えいなし／1秒超の連続炎なし(目視)／破損なし(ISO 20653)／爆発なし(目視,飛散物検知)(4.2 / 6.1.6)
電解液漏えいの確認は、目視、リトマス試験紙、流体の化学分析のいずれか
電圧クラスB2は試験・観察期間の終了後、下記の絶縁抵抗維持(4.2 / 6.1.6)
直流回路のみを含む場合： 100 Ω/V 
交流回路を含み、ISO 6469-3 に適合する追加 AC 保護を有する場合： 100 Ω/V 
交流回路を含み、ISO 6469-3 に適合する追加 AC 保護を有しない場合： 500 Ω/V (5.4.1)
(a) RESS の活線導体の断面積は、RESS の最大短絡電流に対する耐短絡電流定格 (I2t) を有すること。
(b) RESS の活線導体の断面積に応じた過電流保護を設けること。当該過電流保護は短絡電流を開放できる能力
を有すること。(5.4.3)</t>
    <rPh sb="16" eb="18">
      <t>モクシ</t>
    </rPh>
    <rPh sb="36" eb="38">
      <t>バクハツ</t>
    </rPh>
    <rPh sb="41" eb="43">
      <t>モクシ</t>
    </rPh>
    <rPh sb="44" eb="46">
      <t>ヒサン</t>
    </rPh>
    <rPh sb="46" eb="47">
      <t>ブツ</t>
    </rPh>
    <rPh sb="47" eb="49">
      <t>ケンチ</t>
    </rPh>
    <rPh sb="100" eb="102">
      <t>デンアツ</t>
    </rPh>
    <rPh sb="120" eb="122">
      <t>カキ</t>
    </rPh>
    <phoneticPr fontId="6"/>
  </si>
  <si>
    <t>　DUT (Device Under Test):  RESSまたはRESSサブシステム</t>
  </si>
  <si>
    <t>ISO6469-1_Japanese.pdf 4.2 一般的な安全要求事項 / 5.4.1 絶縁抵抗 / 5.4.3 短絡保護 / 6.1 一般試験条件 / 6.5.1 短絡</t>
  </si>
  <si>
    <t>輸送法規 UN38.3を満たす</t>
    <rPh sb="0" eb="4">
      <t>ユソウホウキ</t>
    </rPh>
    <phoneticPr fontId="6"/>
  </si>
  <si>
    <t>輸送時における外部短絡条件下でのセル／電池の安全性検証</t>
    <phoneticPr fontId="6"/>
  </si>
  <si>
    <t>温度測定点：セル又は電池の外装ケース
・測定温度が均一に安定した57±4℃に達するまで加熱する
・加熱時間は寸法・設計に依存するため評価し文書化する。
（評価不能な場合、暴露時間は小型セル・小型電池 6時間以上／大型セル・大型電池 12時間以上とする）
・配線含む外部総接続抵抗は0.1Ω未満
・短絡状態は外装ケース温度が57±4℃に復帰後１時間以上継続する。
(大型バッテリは観測された最大上昇温度分の半分まで低下しその値を下回った状態で1時間継続)
・短絡フェーズ、冷却フェーズでは周囲温度以上で実施する</t>
    <rPh sb="132" eb="134">
      <t>ガイブ</t>
    </rPh>
    <rPh sb="134" eb="135">
      <t>ソウ</t>
    </rPh>
    <rPh sb="135" eb="139">
      <t>セツゾクテイコウ</t>
    </rPh>
    <rPh sb="148" eb="152">
      <t>タンラクジョウタイ</t>
    </rPh>
    <rPh sb="153" eb="155">
      <t>ガイソウ</t>
    </rPh>
    <rPh sb="158" eb="160">
      <t>オンド</t>
    </rPh>
    <rPh sb="167" eb="169">
      <t>フッキ</t>
    </rPh>
    <rPh sb="169" eb="170">
      <t>ノチ</t>
    </rPh>
    <rPh sb="171" eb="173">
      <t>ジカン</t>
    </rPh>
    <rPh sb="173" eb="175">
      <t>イジョウ</t>
    </rPh>
    <rPh sb="175" eb="177">
      <t>ケイゾク</t>
    </rPh>
    <rPh sb="196" eb="198">
      <t>ジョウショウ</t>
    </rPh>
    <rPh sb="200" eb="201">
      <t>ブン</t>
    </rPh>
    <rPh sb="221" eb="223">
      <t>ジカン</t>
    </rPh>
    <rPh sb="223" eb="225">
      <t>ケイゾク</t>
    </rPh>
    <rPh sb="228" eb="230">
      <t>タンラク</t>
    </rPh>
    <rPh sb="235" eb="237">
      <t>レイキャク</t>
    </rPh>
    <rPh sb="243" eb="247">
      <t>シュウイオンド</t>
    </rPh>
    <rPh sb="247" eb="249">
      <t>イジョウ</t>
    </rPh>
    <rPh sb="250" eb="252">
      <t>ジッシ</t>
    </rPh>
    <phoneticPr fontId="6"/>
  </si>
  <si>
    <t>セル及び電池は測定温度が170℃を超えず、かつ試験中および試験後6時間以内に分解、ラプチャー、発火がないこと</t>
    <rPh sb="2" eb="3">
      <t>オヨ</t>
    </rPh>
    <rPh sb="4" eb="6">
      <t>デンチ</t>
    </rPh>
    <rPh sb="17" eb="18">
      <t>コ</t>
    </rPh>
    <rPh sb="23" eb="26">
      <t>シケンチュウ</t>
    </rPh>
    <rPh sb="29" eb="32">
      <t>シケンゴ</t>
    </rPh>
    <rPh sb="33" eb="35">
      <t>ジカン</t>
    </rPh>
    <rPh sb="35" eb="37">
      <t>イナイ</t>
    </rPh>
    <rPh sb="38" eb="40">
      <t>ブンカイ</t>
    </rPh>
    <rPh sb="47" eb="49">
      <t>ハッカ</t>
    </rPh>
    <phoneticPr fontId="6"/>
  </si>
  <si>
    <t>ST/SG/AC.10/11/Rev.8 38.3.4.5 Test T.5: External short circuit
ST/SG/AC.10/11/Rev.8-Amend1 38.3.4.5.2 / 38.3.4.5.3</t>
    <phoneticPr fontId="6"/>
  </si>
  <si>
    <t>TSW 1310 外部短絡　安全性評価</t>
    <rPh sb="9" eb="13">
      <t>ガイブタンラク</t>
    </rPh>
    <rPh sb="14" eb="19">
      <t>アンゼンセイヒョウカ</t>
    </rPh>
    <phoneticPr fontId="6"/>
  </si>
  <si>
    <t>外部短絡時の電池パックの挙動を確認する / 安全性を評価する</t>
    <rPh sb="0" eb="4">
      <t>ガイブタンラク</t>
    </rPh>
    <rPh sb="4" eb="5">
      <t>ジ</t>
    </rPh>
    <rPh sb="6" eb="8">
      <t>デンチ</t>
    </rPh>
    <rPh sb="12" eb="14">
      <t>キョドウ</t>
    </rPh>
    <rPh sb="15" eb="17">
      <t>カクニン</t>
    </rPh>
    <rPh sb="22" eb="25">
      <t>アンゼンセイ</t>
    </rPh>
    <rPh sb="26" eb="28">
      <t>ヒョウカ</t>
    </rPh>
    <phoneticPr fontId="6"/>
  </si>
  <si>
    <r>
      <t>短絡させる回路の下流側の電気抵抗値は3mΩ以下(5.1項)
電池温度：使用温度の上限61+3</t>
    </r>
    <r>
      <rPr>
        <sz val="9"/>
        <color theme="1"/>
        <rFont val="游ゴシック"/>
        <family val="2"/>
        <charset val="128"/>
      </rPr>
      <t>℃</t>
    </r>
    <r>
      <rPr>
        <sz val="9"/>
        <color theme="1"/>
        <rFont val="游ゴシック"/>
        <family val="2"/>
        <charset val="128"/>
        <scheme val="minor"/>
      </rPr>
      <t>と下限温度-30-3℃
終了条件：
・回路遮断（ヒューズ溶断）
・SMRが遮断した場合
・電池電圧が下限電圧に到達した場合</t>
    </r>
    <rPh sb="0" eb="2">
      <t>タンラク</t>
    </rPh>
    <rPh sb="5" eb="7">
      <t>カイロ</t>
    </rPh>
    <rPh sb="8" eb="11">
      <t>カリュウガワ</t>
    </rPh>
    <rPh sb="12" eb="17">
      <t>デンキテイコウチ</t>
    </rPh>
    <rPh sb="21" eb="23">
      <t>イカ</t>
    </rPh>
    <rPh sb="27" eb="28">
      <t>コウ</t>
    </rPh>
    <rPh sb="30" eb="34">
      <t>デンチオンド</t>
    </rPh>
    <rPh sb="35" eb="39">
      <t>シヨウオンド</t>
    </rPh>
    <rPh sb="40" eb="42">
      <t>ジョウゲン</t>
    </rPh>
    <rPh sb="48" eb="52">
      <t>カゲンオンド</t>
    </rPh>
    <rPh sb="59" eb="63">
      <t>シュウリョウジョウケン</t>
    </rPh>
    <rPh sb="66" eb="70">
      <t>カイロシャダン</t>
    </rPh>
    <rPh sb="75" eb="77">
      <t>ヨウダン</t>
    </rPh>
    <rPh sb="84" eb="86">
      <t>シャダン</t>
    </rPh>
    <rPh sb="88" eb="90">
      <t>バアイ</t>
    </rPh>
    <rPh sb="92" eb="96">
      <t>デンチデンアツ</t>
    </rPh>
    <rPh sb="97" eb="99">
      <t>カゲン</t>
    </rPh>
    <rPh sb="99" eb="101">
      <t>デンアツ</t>
    </rPh>
    <rPh sb="102" eb="104">
      <t>トウタツ</t>
    </rPh>
    <rPh sb="106" eb="108">
      <t>バアイ</t>
    </rPh>
    <phoneticPr fontId="6"/>
  </si>
  <si>
    <t>・ヒューズまたはSMRで安全に高電圧を遮断できること
・漏液、破裂、発火、爆発がないこと
・短絡時の突入電流が定格遮断電流値の設計保証以下であること
・CID設定のあるLiセルはCID作動がないこと
・絶縁抵抗100Ω/V以上
・セル圧力弁の作動がないこと</t>
    <rPh sb="12" eb="14">
      <t>アンゼン</t>
    </rPh>
    <rPh sb="15" eb="18">
      <t>コウデンアツ</t>
    </rPh>
    <rPh sb="19" eb="21">
      <t>シャダン</t>
    </rPh>
    <rPh sb="28" eb="30">
      <t>ロウエキ</t>
    </rPh>
    <rPh sb="31" eb="33">
      <t>ハレツ</t>
    </rPh>
    <rPh sb="34" eb="36">
      <t>ハッカ</t>
    </rPh>
    <rPh sb="37" eb="39">
      <t>バクハツ</t>
    </rPh>
    <rPh sb="46" eb="49">
      <t>タンラクジ</t>
    </rPh>
    <rPh sb="50" eb="52">
      <t>トツニュウ</t>
    </rPh>
    <rPh sb="52" eb="54">
      <t>デンリュウ</t>
    </rPh>
    <rPh sb="55" eb="62">
      <t>テイカクシャダンデンリュウチ</t>
    </rPh>
    <rPh sb="63" eb="65">
      <t>セッケイ</t>
    </rPh>
    <rPh sb="65" eb="69">
      <t>ホショウイカ</t>
    </rPh>
    <rPh sb="79" eb="81">
      <t>セッテイ</t>
    </rPh>
    <rPh sb="92" eb="94">
      <t>サドウ</t>
    </rPh>
    <rPh sb="101" eb="105">
      <t>ゼツエンテイコウ</t>
    </rPh>
    <rPh sb="111" eb="113">
      <t>イジョウ</t>
    </rPh>
    <rPh sb="117" eb="120">
      <t>アツリョクベン</t>
    </rPh>
    <phoneticPr fontId="6"/>
  </si>
  <si>
    <t>TSW1310G / TSW1310G-1</t>
    <phoneticPr fontId="6"/>
  </si>
  <si>
    <t>熱・温度性能</t>
  </si>
  <si>
    <t>熱衝撃</t>
  </si>
  <si>
    <t>基本電気・熱特性・寿命</t>
  </si>
  <si>
    <t>BS25 冷却温度制御条件：セル充放電時の許容温度範囲</t>
  </si>
  <si>
    <t>BS27 動作温度限界性能：極低温・極高温下のシステム出力動作限界</t>
  </si>
  <si>
    <t>BS28 環境動作温度・湿度範囲：車両運用の外的環境仕様</t>
  </si>
  <si>
    <t>振動・衝撃耐久性能</t>
  </si>
  <si>
    <t>K-3 強度・衝突安全</t>
  </si>
  <si>
    <t>20260402_解析力向上_素性・開発効率向上_V02_展開資料5.pdf / 260528_素性効率向上検討会_BVPx次世代コンセプト_期初計画.pptx</t>
  </si>
  <si>
    <t>強度・機械的防護</t>
  </si>
  <si>
    <t>BS11 耐久信頼性性能：実働応力・悪路・高速波状路・突起乗り越し等の構造耐久</t>
  </si>
  <si>
    <t>BS12 振動適合：走行振動を模擬した規格適合試験要求</t>
  </si>
  <si>
    <t>圧壊・機械破壊性能</t>
  </si>
  <si>
    <t>BS16 圧壊安全性性能：圧壊試験における圧壊耐性と安全性</t>
  </si>
  <si>
    <t>BS14 路面・落下物干渉防護：外部突起干渉・衝突に対する物理防護</t>
  </si>
  <si>
    <t>BS19 底部機械防護性能：電池パック底部の物理防護・耐荷重</t>
  </si>
  <si>
    <t>衝突安全性能</t>
  </si>
  <si>
    <t>側突</t>
  </si>
  <si>
    <t>現行 32 km/h ／ 将来 40 km/h</t>
  </si>
  <si>
    <t>20260402_解析力向上_素性・開発効率向上_V02_展開資料5.pdf / 260317_内山田相談役報告_次世代電池パック開発（普及版）.pptx / 250321_プロ検_年度まとめ.pptx</t>
  </si>
  <si>
    <t>ポール側突</t>
  </si>
  <si>
    <t>BS15 衝突安全性性能：衝突時のエネルギー吸収量・セル保護判定</t>
  </si>
  <si>
    <t>2セルごと停止狙い（設計方針）</t>
  </si>
  <si>
    <t>熱拡散安全性能</t>
    <rPh sb="0" eb="3">
      <t>ネツカクサン</t>
    </rPh>
    <rPh sb="3" eb="7">
      <t>アンゼンセイノウ</t>
    </rPh>
    <phoneticPr fontId="6"/>
  </si>
  <si>
    <t>熱拡散</t>
    <rPh sb="0" eb="3">
      <t>ネツカクサン</t>
    </rPh>
    <phoneticPr fontId="6"/>
  </si>
  <si>
    <t>法規(UN-R-100/05)を満足させる</t>
    <rPh sb="0" eb="2">
      <t>ホウキ</t>
    </rPh>
    <rPh sb="16" eb="18">
      <t>マンゾク</t>
    </rPh>
    <phoneticPr fontId="6"/>
  </si>
  <si>
    <t>REESS内の電池において強制的な熱暴走が引き起こされる場合に、車両内の乗員の安全を確保する（UN 附則9K 1項）。単電池の熱暴走をきっかけとした熱伝播による危険な環境に車両乗員が曝露されないこと（UN 6.15）。</t>
  </si>
  <si>
    <t>完了</t>
  </si>
  <si>
    <t>車両対象テスト、又は構成部品対象テスト（REESS若しくはREESSサブシステム）のいずれかを実施（カットボディでTMCは実施）
外部ヒーターによる加熱
最高動作温度より少なくとも100 ℃高い温度
熱暴走確認時点、またはヒーターへの総エネルギー入力が起点電池エネルギーの20％で停止
起点電池面積の20%を超えない[^3]表1：ヒーター装置選択ガイド：目標パラメータ  
厚み ＜5 mm   
加熱率 ≧15 ℃/s  
最高温度 最高動作温度より少なくとも100 ℃高い温度[[3]</t>
    <rPh sb="61" eb="63">
      <t>ジッシ</t>
    </rPh>
    <phoneticPr fontId="6"/>
  </si>
  <si>
    <t xml:space="preserve">**危険状況の禁止**：警告信号から**5分間**、以下が発生しないこと[^3]
  - (a) 火災
  - (b) 爆発
  - (c) 客室内へのスモーク放出
</t>
    <phoneticPr fontId="6"/>
  </si>
  <si>
    <t>法規に準拠</t>
    <rPh sb="0" eb="2">
      <t>ホウキ</t>
    </rPh>
    <rPh sb="3" eb="5">
      <t>ジュンキョ</t>
    </rPh>
    <phoneticPr fontId="6"/>
  </si>
  <si>
    <t>UN-R-100/05 附則9K - 付録1</t>
    <phoneticPr fontId="6"/>
  </si>
  <si>
    <t>↑</t>
    <phoneticPr fontId="6"/>
  </si>
  <si>
    <t xml:space="preserve">**2時間非伝播による適合**：起点電池の熱暴走から**2時間**熱伝播が観察されなければ、要件を満たすとみなす[^3]
</t>
    <phoneticPr fontId="6"/>
  </si>
  <si>
    <t xml:space="preserve">**熱暴走未誘発による適合**：選択トリガー法で熱暴走が誘発されず、同一手順の繰返しまたは電池レベル試験で確認された場合も適合[^3]
</t>
    <phoneticPr fontId="6"/>
  </si>
  <si>
    <t>外部加熱（付録1）特有の終了条件として、ヒーターリレー開放後**1時間**の観察で起点電池が熱暴走しなければ適合</t>
    <phoneticPr fontId="6"/>
  </si>
  <si>
    <t>法規(GB38031-2025)を満足させる</t>
    <rPh sb="0" eb="2">
      <t>ホウキ</t>
    </rPh>
    <rPh sb="17" eb="19">
      <t>マンゾク</t>
    </rPh>
    <phoneticPr fontId="6"/>
  </si>
  <si>
    <t>電池パック又はシステム又は車両について、熱拡散における乗員保護分析と検証を行う（GB 5.2.7 b／8.2.7.2）。単一の電池が内部短絡により熱制御不能になった後、発火・爆発せず、5min以内に熱事件警報信号を提供し乗員室に危険がないこと（GB 付録C C.1）</t>
  </si>
  <si>
    <t>試験形態：電池パック
電気エネルギー別に規定（例：E≥800Whで&gt;600W）表C.2 加熱装置の出力選択  
トリガー対象の電気エネルギー EWh／加熱装置の最大出力W  
E&lt;100　30～300  
100≤E&lt;400　300～1000  
400≤E&lt;800　300～2000  
E≥800　&gt;600[]
熱暴走発生時、または監視点300℃到達時[^2]
加熱装置の反対側（熱伝導から遠い側）
開始温度：セル22℃±5℃に調整[^5]
試験終了条件：すべての監視測定点の温度が60℃を超えず、かつ観察時間が2時間以上であること</t>
    <rPh sb="0" eb="2">
      <t>シケン</t>
    </rPh>
    <rPh sb="2" eb="4">
      <t>ケイタイ</t>
    </rPh>
    <rPh sb="5" eb="7">
      <t>デンチ</t>
    </rPh>
    <phoneticPr fontId="6"/>
  </si>
  <si>
    <t>**発火・爆発**：発火しない、爆発しないこと</t>
    <phoneticPr fontId="6"/>
  </si>
  <si>
    <t>GB38031-2025 付録 C.5.3</t>
    <phoneticPr fontId="6"/>
  </si>
  <si>
    <t>**警報時間**：熱事件警報信号を提供し、発信時間はセル熱暴走触発から**5分以内**であること</t>
    <phoneticPr fontId="6"/>
  </si>
  <si>
    <t>GB38031-2025 付録 C.5.3</t>
  </si>
  <si>
    <t>**煙（パック・システムレベル）**：警報信号の前後5分以内に、煙が乗員室に危害がないことの技術説明文書を提供
**煙（車両レベル）**：警報信号の前後5分以内に、煙が乗員室に入らないこと</t>
    <phoneticPr fontId="6"/>
  </si>
  <si>
    <t>法規(FMVSS305a/Part561)を満足させる</t>
    <rPh sb="0" eb="2">
      <t>ホウキ</t>
    </rPh>
    <rPh sb="22" eb="24">
      <t>マンゾク</t>
    </rPh>
    <phoneticPr fontId="6"/>
  </si>
  <si>
    <t>REESS熱伝播安全（S13 REESS thermal propagation safety）。車両とそのREESSが、セル内部短絡起因の単一セル熱暴走から生じる熱伝播の安全リスクを低減するよう設計されていることを文書で実証する（FMVSS S13.1／§561.10）。文書は外部充電モード・走行可能モード・駐車モードの熱伝播安全リスク低減を示す（FMVSS S13.1／§561.10）。</t>
  </si>
  <si>
    <t>中</t>
  </si>
  <si>
    <t>Test 7: Thermal Event Warning Test (REESS)
車両レベル
|周囲温度|10℃〜30℃|"The thermal event warning test is conducted at ambient temperatures between 10 ° C and 30 ° C"|
|初期SOC|90〜95%|"with the vehicle REESS initially set between 90 to 95 percent SOC"|
|REESS取り外し|可能な場合は取り外す|"(a) If possible, the REESS is removed from the vehicle."|
Test 7: Thermal Event Warning Test (REESS)
|ケース開放|REESSケーシングを開く|"(b) The REESS casing is opened."|
|ヒーター仕様|30秒以内に600℃到達、少なくとも1セルが熱暴走するまで作動
|再組立|ケーシングを閉じ、車両に再搭載(取り外していた場合)|"(d) The REESS casing is closed and the REESS is reinstalled into the vehicle (if initially removed in (a))."|
|転動防止装置|車両の意図しない転動防止装置を設置|
|車両モード|active driving possible modeに設定|
|測定項目|ヒーター作動から前列乗員への警報作動までの時間を記録|
|試験終了条件|警報作動後、またはヒーター作動から4分後のいずれか早い方で終了|
S13.1（伝播安全）|単一セル内部短絡起因の熱暴走に対し、外部充電モード・走行可能モード・駐車モードの3モードで伝播リスク低減を文書で立証
発火・爆発そのものの直接的な合否閾値は、熱伝播（S13）ではなく主に衝突後（S8.1、衝突後1時間発火・爆発なし）で規定される点に注意が必要</t>
    <rPh sb="43" eb="45">
      <t>シャリョウ</t>
    </rPh>
    <phoneticPr fontId="6"/>
  </si>
  <si>
    <t xml:space="preserve">
熱事象発生から3分以内に警報作動</t>
    <phoneticPr fontId="6"/>
  </si>
  <si>
    <t>FMVSS305a/Part561
SH25-0018</t>
    <phoneticPr fontId="6"/>
  </si>
  <si>
    <t>警報は聴覚・視覚信号で構成し、少なくとも5分間継続</t>
    <rPh sb="23" eb="25">
      <t>ケイゾク</t>
    </rPh>
    <phoneticPr fontId="6"/>
  </si>
  <si>
    <t>熱拡散安全性能</t>
    <rPh sb="0" eb="3">
      <t>ネツカクサン</t>
    </rPh>
    <phoneticPr fontId="6"/>
  </si>
  <si>
    <t>発煙検知</t>
    <rPh sb="0" eb="2">
      <t>ハツエン</t>
    </rPh>
    <rPh sb="2" eb="4">
      <t>ケンチ</t>
    </rPh>
    <phoneticPr fontId="6"/>
  </si>
  <si>
    <t>排煙センサにて異常検知できること</t>
    <rPh sb="7" eb="9">
      <t>イジョウ</t>
    </rPh>
    <rPh sb="9" eb="11">
      <t>ケンチ</t>
    </rPh>
    <phoneticPr fontId="6"/>
  </si>
  <si>
    <t>法規(UN-R-100/05)FMVSS 305aの準拠のため</t>
    <rPh sb="26" eb="28">
      <t>ジュンキョ</t>
    </rPh>
    <phoneticPr fontId="6"/>
  </si>
  <si>
    <t>WP駆動は30sとする</t>
    <phoneticPr fontId="6"/>
  </si>
  <si>
    <t>IG-ON中：排煙センサ① 15℃/8sec以上　＆ 排煙センサ② 5℃/8sec以上が1sec継続時</t>
    <phoneticPr fontId="6"/>
  </si>
  <si>
    <t>実態は法規8sec/実安全60sec
データフラッシュ書き込み対応で実安全30sにする。
また、試験統合の為にWP駆動は30sとする。</t>
    <phoneticPr fontId="6"/>
  </si>
  <si>
    <t>熱拡散機能主査DR_チェックポイント(見本).pptx</t>
    <phoneticPr fontId="6"/>
  </si>
  <si>
    <t>法規(UN-R-100/05)FMVSS 305aの準拠のため</t>
    <phoneticPr fontId="6"/>
  </si>
  <si>
    <t xml:space="preserve">IG-OFF中：排煙センサ①or②(おそらく) 15℃/30sec以上 </t>
    <phoneticPr fontId="6"/>
  </si>
  <si>
    <t>防水・浸水性能</t>
  </si>
  <si>
    <t>パックシール性能</t>
  </si>
  <si>
    <t>20260402_解析力向上_素性・開発効率向上_V02_展開資料5.pdf / 250321_プロ検_年度まとめ.pptx</t>
  </si>
  <si>
    <t>高電圧安全・絶縁・防水</t>
  </si>
  <si>
    <t>BS31 パック防水性能：外部浸水に対する防護レベル（IPX7等）</t>
  </si>
  <si>
    <t>温度分布→結露量算出（評価手法）</t>
  </si>
  <si>
    <t>BS32 水入り検知・防護性能：パック内部浸水の即時検知機能</t>
  </si>
  <si>
    <t>BS33 シール・呼吸膜性能：内外気圧差調停と高気密維持</t>
  </si>
  <si>
    <t>結露耐性</t>
  </si>
  <si>
    <t>耐環境・腐食／材料適合性能</t>
  </si>
  <si>
    <t>適合性・環境</t>
  </si>
  <si>
    <t>BS30 対象仕向地適合：各国の使用環境や法規への適合</t>
  </si>
  <si>
    <t>【部長級】将来BEV_電池×システム先行開発連携.pptx / 260528_素性効率向上検討会_BVPx次世代コンセプト_期初計画.pptx / 260317_内山田相談役報告_次世代電池パック開発（普及版）.pptx</t>
  </si>
  <si>
    <t>BS43 環境負荷物質制限：有害物質（RoHS/REACH等）の排除</t>
  </si>
  <si>
    <t>BS44 材料マーキング・難燃性・VOC規格適合：難燃基準・車室内VOC基準適合</t>
  </si>
  <si>
    <t>BS42 リサイクル容易性：廃車時の解体容易性・素材識別性</t>
  </si>
  <si>
    <t>耐熱・耐火性能</t>
  </si>
  <si>
    <t>250321_プロ検_年度まとめ.pptx / 260317_内山田相談役報告_次世代電池パック開発（普及版）.pptx</t>
  </si>
  <si>
    <t>絶縁・シール信頼性</t>
  </si>
  <si>
    <t>絶縁油使用時</t>
  </si>
  <si>
    <t>250321_プロ検_年度まとめ.pptx / 20260402_解析力向上_素性・開発効率向上_V02_展開資料5.pdf</t>
  </si>
  <si>
    <t>冷却・温調性能</t>
  </si>
  <si>
    <t>K-2 冷却性能</t>
  </si>
  <si>
    <t>【部長級】将来BEV_電池×システム先行開発連携.pptx / 20260402_解析力向上_素性・開発効率向上_V02_展開資料5.pdf</t>
  </si>
  <si>
    <t>BS02 冷却性能：パック熱マネジメントの冷却効率</t>
  </si>
  <si>
    <t>BS24 冷却方式仕様：液冷・液浸・空冷等の方式選定基準</t>
  </si>
  <si>
    <t>BS26 冷却性能・調停ロジック：各種熱負荷に応じた冷却調停</t>
  </si>
  <si>
    <t>6分充電条件：電池最高温度 92℃</t>
  </si>
  <si>
    <t>電気性能</t>
  </si>
  <si>
    <t>BS01 入出力：航続距離要件等を定義する基本入出力性能</t>
  </si>
  <si>
    <t>BS03 通電電流：通電および許容電流に関する要求</t>
  </si>
  <si>
    <t>BS04 急速充電性能：急速充電にかかる時間・効率</t>
  </si>
  <si>
    <t>'30目線での性能目標値：急速充電時間20分化
45℃ 400s時 断面温度分布からシール温度が超過 189℃　電極温度が超過 104℃</t>
  </si>
  <si>
    <t>初期25℃,45℃</t>
  </si>
  <si>
    <t xml:space="preserve"> TGT 93℃シール 60℃電極</t>
  </si>
  <si>
    <t>全導通部品断面積2倍で温度目標満足
シール：初期25℃条件で122.2℃→60.4℃、45℃条件で189℃→97.4℃に低減。
電極：初期25℃条件で63℃→56.4℃、45℃条件で106.1℃→95.5℃に低減</t>
  </si>
  <si>
    <t>下記背反について検証中​
・セル内通電部拡大に伴う電極容量減​
・セル間バスバー可撓性確保​
・スタック間/総バスバー搭載スペース​</t>
  </si>
  <si>
    <t>BS05 電圧：システム動作電圧に関する仕様</t>
  </si>
  <si>
    <t>BS06 容量：電池パックの総容量仕様</t>
  </si>
  <si>
    <t>寿命・信頼性性能</t>
  </si>
  <si>
    <t>BS07 寿命：電池パックの寿命および容量維持率</t>
  </si>
  <si>
    <t>BS29 寿命目標性能：長期運用における目標維持率</t>
  </si>
  <si>
    <t>法規・規格適合性能</t>
  </si>
  <si>
    <t>K-1 法規</t>
  </si>
  <si>
    <t>輸送・国際法規</t>
  </si>
  <si>
    <t>BS13 輸送法規適合：国際輸送時（UN38.3等）の安全性</t>
  </si>
  <si>
    <t>NV・EMC性能</t>
  </si>
  <si>
    <t>K-5 NV・EMC</t>
  </si>
  <si>
    <t>NV・EMC</t>
  </si>
  <si>
    <t>BS34 NV・EMC性能目標：騒音・振動および電磁両立性</t>
  </si>
  <si>
    <t>搭載性・パッケージ適合性能</t>
  </si>
  <si>
    <t>車両取り合い</t>
  </si>
  <si>
    <t>BS39 体積・投影面積制限：床下搭載スペースに収めるための外形制約</t>
  </si>
  <si>
    <t>BS40 車両パッケージ適合：艤装性・締結箇所等の車両取り合い</t>
  </si>
  <si>
    <t>原価・質量性能</t>
  </si>
  <si>
    <t>K-6 原価</t>
    <phoneticPr fontId="6"/>
  </si>
  <si>
    <t>K-6 質量</t>
    <phoneticPr fontId="6"/>
  </si>
  <si>
    <t>生産性・サービス性能</t>
  </si>
  <si>
    <t>K-7 生産性</t>
  </si>
  <si>
    <t>生産・サービス</t>
  </si>
  <si>
    <t>BS41 量産性・サービス安全性能：製造ラインでの組みやすさ・分解メンテ安全</t>
  </si>
  <si>
    <t>部品</t>
    <rPh sb="0" eb="2">
      <t>ブヒン</t>
    </rPh>
    <phoneticPr fontId="6"/>
  </si>
  <si>
    <t>基本指針</t>
    <rPh sb="0" eb="4">
      <t>キホンシシン</t>
    </rPh>
    <phoneticPr fontId="6"/>
  </si>
  <si>
    <t>Any positionでの成立</t>
    <rPh sb="14" eb="16">
      <t>セイリツ</t>
    </rPh>
    <phoneticPr fontId="6"/>
  </si>
  <si>
    <t>主な考え方</t>
    <rPh sb="0" eb="1">
      <t>オモ</t>
    </rPh>
    <rPh sb="2" eb="3">
      <t>カンガ</t>
    </rPh>
    <rPh sb="4" eb="5">
      <t>カタ</t>
    </rPh>
    <phoneticPr fontId="6"/>
  </si>
  <si>
    <t>　　</t>
    <phoneticPr fontId="6"/>
  </si>
  <si>
    <t>単セル発煙に抑える</t>
    <rPh sb="0" eb="1">
      <t>タン</t>
    </rPh>
    <rPh sb="3" eb="5">
      <t>ハツエン</t>
    </rPh>
    <rPh sb="6" eb="7">
      <t>オサ</t>
    </rPh>
    <phoneticPr fontId="6"/>
  </si>
  <si>
    <t>MtoP、CtoPで同じ挙動を示すと思われる点を測定し同値であることを証明し、過去知見が使えることを確認する。これ、結構重要。</t>
    <rPh sb="10" eb="11">
      <t>オナ</t>
    </rPh>
    <rPh sb="12" eb="14">
      <t>キョドウ</t>
    </rPh>
    <rPh sb="15" eb="16">
      <t>シメ</t>
    </rPh>
    <rPh sb="18" eb="19">
      <t>オモ</t>
    </rPh>
    <rPh sb="22" eb="23">
      <t>テン</t>
    </rPh>
    <rPh sb="24" eb="26">
      <t>ソクテイ</t>
    </rPh>
    <rPh sb="27" eb="29">
      <t>ドウチ</t>
    </rPh>
    <rPh sb="35" eb="37">
      <t>ショウメイ</t>
    </rPh>
    <rPh sb="39" eb="43">
      <t>カコチケン</t>
    </rPh>
    <rPh sb="44" eb="45">
      <t>ツカ</t>
    </rPh>
    <rPh sb="50" eb="52">
      <t>カクニン</t>
    </rPh>
    <rPh sb="58" eb="62">
      <t>ケッコウジュウヨウ</t>
    </rPh>
    <phoneticPr fontId="6"/>
  </si>
  <si>
    <t>定量化できるが部品設計側で定義する</t>
    <rPh sb="0" eb="3">
      <t>テイリョウカ</t>
    </rPh>
    <rPh sb="7" eb="9">
      <t>ブヒン</t>
    </rPh>
    <rPh sb="9" eb="11">
      <t>セッケイ</t>
    </rPh>
    <rPh sb="11" eb="12">
      <t>ガワ</t>
    </rPh>
    <rPh sb="13" eb="15">
      <t>テイギ</t>
    </rPh>
    <phoneticPr fontId="6"/>
  </si>
  <si>
    <t>一文一要求のため、複数文作成しています。</t>
    <rPh sb="0" eb="2">
      <t>イチブン</t>
    </rPh>
    <rPh sb="2" eb="5">
      <t>イチヨウキュウ</t>
    </rPh>
    <rPh sb="9" eb="11">
      <t>フクスウ</t>
    </rPh>
    <rPh sb="11" eb="12">
      <t>ブン</t>
    </rPh>
    <rPh sb="12" eb="14">
      <t>サクセイ</t>
    </rPh>
    <phoneticPr fontId="6"/>
  </si>
  <si>
    <t>森記載</t>
    <rPh sb="0" eb="3">
      <t>モリキサイ</t>
    </rPh>
    <phoneticPr fontId="6"/>
  </si>
  <si>
    <t>CtoPで変化のある部分（実施済みのDRBFMでの変化点確認）、バンド拘束がケース拘束になる部分、接着剤でRF固定とするところ、拘束部品の熱影響の変化、端セルの隣が拘束プレートでなく薄板鉄板/樹脂プレートになっている点（これは優先度低い）を見ていく。</t>
    <rPh sb="5" eb="7">
      <t>ヘンカ</t>
    </rPh>
    <rPh sb="10" eb="12">
      <t>ブブン</t>
    </rPh>
    <rPh sb="13" eb="16">
      <t>ジッシズ</t>
    </rPh>
    <rPh sb="25" eb="28">
      <t>ヘンカテン</t>
    </rPh>
    <rPh sb="28" eb="30">
      <t>カクニン</t>
    </rPh>
    <rPh sb="35" eb="37">
      <t>コウソク</t>
    </rPh>
    <rPh sb="41" eb="43">
      <t>コウソク</t>
    </rPh>
    <rPh sb="46" eb="48">
      <t>ブブン</t>
    </rPh>
    <rPh sb="49" eb="52">
      <t>セッチャクザイ</t>
    </rPh>
    <rPh sb="55" eb="57">
      <t>コテイ</t>
    </rPh>
    <rPh sb="64" eb="68">
      <t>コウソクブヒン</t>
    </rPh>
    <rPh sb="69" eb="72">
      <t>ネツエイキョウ</t>
    </rPh>
    <rPh sb="73" eb="75">
      <t>ヘンカ</t>
    </rPh>
    <rPh sb="76" eb="77">
      <t>ハシ</t>
    </rPh>
    <rPh sb="80" eb="81">
      <t>トナリ</t>
    </rPh>
    <rPh sb="82" eb="84">
      <t>コウソク</t>
    </rPh>
    <rPh sb="91" eb="95">
      <t>ウスイタテッパン</t>
    </rPh>
    <rPh sb="96" eb="98">
      <t>ジュシ</t>
    </rPh>
    <rPh sb="108" eb="109">
      <t>テン</t>
    </rPh>
    <rPh sb="113" eb="117">
      <t>ユウセンドヒク</t>
    </rPh>
    <rPh sb="120" eb="121">
      <t>ミ</t>
    </rPh>
    <phoneticPr fontId="6"/>
  </si>
  <si>
    <t>システム側で定量値にする</t>
    <rPh sb="4" eb="5">
      <t>ガワ</t>
    </rPh>
    <rPh sb="6" eb="9">
      <t>テイリョウチ</t>
    </rPh>
    <phoneticPr fontId="6"/>
  </si>
  <si>
    <t>&lt;対象部品&gt; = 右記●がついている部品が関係しています。</t>
    <rPh sb="9" eb="11">
      <t>ウキ</t>
    </rPh>
    <rPh sb="18" eb="20">
      <t>ブヒン</t>
    </rPh>
    <rPh sb="21" eb="23">
      <t>カンケイ</t>
    </rPh>
    <phoneticPr fontId="6"/>
  </si>
  <si>
    <t>高橋SN</t>
    <rPh sb="0" eb="2">
      <t>タカハシ</t>
    </rPh>
    <phoneticPr fontId="6"/>
  </si>
  <si>
    <t>長野SN</t>
    <rPh sb="0" eb="2">
      <t>ナガノ</t>
    </rPh>
    <phoneticPr fontId="6"/>
  </si>
  <si>
    <t>大平SK</t>
    <rPh sb="0" eb="2">
      <t>オオヒラ</t>
    </rPh>
    <phoneticPr fontId="6"/>
  </si>
  <si>
    <t>金子SN</t>
    <rPh sb="0" eb="2">
      <t>カネコ</t>
    </rPh>
    <phoneticPr fontId="6"/>
  </si>
  <si>
    <t>伊部SN</t>
    <rPh sb="0" eb="2">
      <t>イベ</t>
    </rPh>
    <phoneticPr fontId="6"/>
  </si>
  <si>
    <t>大平SK、浦上SN</t>
    <rPh sb="0" eb="2">
      <t>オオヒラ</t>
    </rPh>
    <rPh sb="5" eb="7">
      <t>ウラカミ</t>
    </rPh>
    <phoneticPr fontId="6"/>
  </si>
  <si>
    <t>加茂SK</t>
    <rPh sb="0" eb="2">
      <t>カモ</t>
    </rPh>
    <phoneticPr fontId="6"/>
  </si>
  <si>
    <t>大平SN</t>
    <rPh sb="0" eb="2">
      <t>オオヒラ</t>
    </rPh>
    <phoneticPr fontId="6"/>
  </si>
  <si>
    <t>田口SK</t>
    <rPh sb="0" eb="2">
      <t>タグチ</t>
    </rPh>
    <phoneticPr fontId="6"/>
  </si>
  <si>
    <t>ステークホルダーニーズ/システム機能</t>
    <rPh sb="16" eb="18">
      <t>キノウ</t>
    </rPh>
    <phoneticPr fontId="6"/>
  </si>
  <si>
    <t>机上目途付けができているか</t>
    <rPh sb="0" eb="2">
      <t>キジョウ</t>
    </rPh>
    <rPh sb="2" eb="4">
      <t>メド</t>
    </rPh>
    <rPh sb="4" eb="5">
      <t>ヅ</t>
    </rPh>
    <phoneticPr fontId="6"/>
  </si>
  <si>
    <t>パック試験で予測のためのデータが取れるか(CTPパックの必要性)</t>
    <rPh sb="3" eb="5">
      <t>シケン</t>
    </rPh>
    <rPh sb="6" eb="8">
      <t>ヨソク</t>
    </rPh>
    <rPh sb="16" eb="17">
      <t>ト</t>
    </rPh>
    <rPh sb="28" eb="31">
      <t>ヒツヨウセイ</t>
    </rPh>
    <phoneticPr fontId="6"/>
  </si>
  <si>
    <t>判断手法の有無(机上、CAE、単品要素試験、パック試験)</t>
    <rPh sb="0" eb="2">
      <t>ハンダン</t>
    </rPh>
    <rPh sb="2" eb="4">
      <t>シュホウ</t>
    </rPh>
    <rPh sb="5" eb="7">
      <t>ウム</t>
    </rPh>
    <rPh sb="8" eb="10">
      <t>キジョウ</t>
    </rPh>
    <rPh sb="15" eb="19">
      <t>タンピンヨウソ</t>
    </rPh>
    <rPh sb="19" eb="21">
      <t>シケン</t>
    </rPh>
    <rPh sb="25" eb="27">
      <t>シケン</t>
    </rPh>
    <phoneticPr fontId="6"/>
  </si>
  <si>
    <t>4号機仕様で確認できるか</t>
    <rPh sb="1" eb="3">
      <t>ゴウキ</t>
    </rPh>
    <rPh sb="3" eb="5">
      <t>シヨウ</t>
    </rPh>
    <rPh sb="6" eb="8">
      <t>カクニン</t>
    </rPh>
    <phoneticPr fontId="6"/>
  </si>
  <si>
    <t>根拠</t>
    <rPh sb="0" eb="2">
      <t>コンキョ</t>
    </rPh>
    <phoneticPr fontId="6"/>
  </si>
  <si>
    <t>セル間断熱材</t>
    <phoneticPr fontId="6"/>
  </si>
  <si>
    <t>エンドプレート</t>
    <phoneticPr fontId="6"/>
  </si>
  <si>
    <t>拘束</t>
    <rPh sb="0" eb="2">
      <t>コウソク</t>
    </rPh>
    <phoneticPr fontId="6"/>
  </si>
  <si>
    <t>絶縁カバー</t>
    <phoneticPr fontId="6"/>
  </si>
  <si>
    <t>パックシール材</t>
    <rPh sb="6" eb="7">
      <t>ザイ</t>
    </rPh>
    <phoneticPr fontId="6"/>
  </si>
  <si>
    <t>低圧/高圧パックI/Fシール材</t>
    <rPh sb="0" eb="2">
      <t>テイアツ</t>
    </rPh>
    <rPh sb="3" eb="5">
      <t>コウアツ</t>
    </rPh>
    <rPh sb="14" eb="15">
      <t>ザイ</t>
    </rPh>
    <phoneticPr fontId="6"/>
  </si>
  <si>
    <t>アッパー断熱</t>
  </si>
  <si>
    <t>排煙バルブ</t>
    <rPh sb="0" eb="2">
      <t>ハイエン</t>
    </rPh>
    <phoneticPr fontId="6"/>
  </si>
  <si>
    <t>呼吸膜</t>
    <rPh sb="0" eb="3">
      <t>コキュウマク</t>
    </rPh>
    <phoneticPr fontId="6"/>
  </si>
  <si>
    <t>ロアケース</t>
    <phoneticPr fontId="6"/>
  </si>
  <si>
    <t>アッパーケース</t>
    <phoneticPr fontId="6"/>
  </si>
  <si>
    <t>MOD間バスバ</t>
  </si>
  <si>
    <t>セル</t>
    <phoneticPr fontId="6"/>
  </si>
  <si>
    <t>セルフィルム</t>
    <phoneticPr fontId="6"/>
  </si>
  <si>
    <t>J/B</t>
    <phoneticPr fontId="6"/>
  </si>
  <si>
    <t>SBM</t>
    <phoneticPr fontId="6"/>
  </si>
  <si>
    <t>PNコネクタ</t>
    <phoneticPr fontId="6"/>
  </si>
  <si>
    <t>低圧コネクタ</t>
    <rPh sb="0" eb="2">
      <t>テイアツ</t>
    </rPh>
    <phoneticPr fontId="6"/>
  </si>
  <si>
    <t>高圧ヒューズ</t>
    <rPh sb="0" eb="2">
      <t>コウアツ</t>
    </rPh>
    <phoneticPr fontId="6"/>
  </si>
  <si>
    <t>ECU</t>
    <phoneticPr fontId="6"/>
  </si>
  <si>
    <t>BBM</t>
    <phoneticPr fontId="6"/>
  </si>
  <si>
    <t>BBMコネクタ</t>
    <phoneticPr fontId="6"/>
  </si>
  <si>
    <t>コネクタブロック</t>
    <phoneticPr fontId="6"/>
  </si>
  <si>
    <t>コネクタブロックシール材</t>
    <rPh sb="11" eb="12">
      <t>ザイ</t>
    </rPh>
    <phoneticPr fontId="6"/>
  </si>
  <si>
    <t>冷却器</t>
    <rPh sb="0" eb="3">
      <t>レイキャクキ</t>
    </rPh>
    <phoneticPr fontId="6"/>
  </si>
  <si>
    <t>熱伝導材</t>
    <phoneticPr fontId="6"/>
  </si>
  <si>
    <t>排煙サーミスタ</t>
    <rPh sb="0" eb="2">
      <t>ハイエン</t>
    </rPh>
    <phoneticPr fontId="6"/>
  </si>
  <si>
    <t>フェライトコア</t>
    <phoneticPr fontId="6"/>
  </si>
  <si>
    <t>総±バスバー</t>
    <rPh sb="0" eb="1">
      <t>ソウ</t>
    </rPh>
    <phoneticPr fontId="6"/>
  </si>
  <si>
    <t>構造用接着剤(セル接着剤)</t>
    <rPh sb="0" eb="3">
      <t>コウゾウヨウ</t>
    </rPh>
    <rPh sb="3" eb="6">
      <t>セッチャクザイ</t>
    </rPh>
    <rPh sb="9" eb="12">
      <t>セッチャクザイ</t>
    </rPh>
    <phoneticPr fontId="6"/>
  </si>
  <si>
    <t>スペーサー</t>
    <phoneticPr fontId="6"/>
  </si>
  <si>
    <t>W/H</t>
    <phoneticPr fontId="6"/>
  </si>
  <si>
    <t>端子台</t>
    <rPh sb="0" eb="3">
      <t>タンシダイ</t>
    </rPh>
    <phoneticPr fontId="6"/>
  </si>
  <si>
    <t>PN絶縁板</t>
    <rPh sb="2" eb="5">
      <t>ゼツエンバン</t>
    </rPh>
    <phoneticPr fontId="6"/>
  </si>
  <si>
    <t>端絶縁板</t>
    <rPh sb="0" eb="1">
      <t>ハシ</t>
    </rPh>
    <rPh sb="1" eb="4">
      <t>ゼツエンバン</t>
    </rPh>
    <phoneticPr fontId="6"/>
  </si>
  <si>
    <t>大項目</t>
    <phoneticPr fontId="6"/>
  </si>
  <si>
    <t>原嶋メモ</t>
    <rPh sb="0" eb="2">
      <t>ハラシマ</t>
    </rPh>
    <phoneticPr fontId="6"/>
  </si>
  <si>
    <t>合わせ面からの漏煙を防止する</t>
    <phoneticPr fontId="6"/>
  </si>
  <si>
    <t>熱拡散試験中、&lt;対象部品&gt;ではセル開弁圧力によるシール部発生引張荷重よりもシール部引張強度は高くなければならない。
熱拡散試験中、排煙バルブの開弁圧力は熱拡散発生圧力よりも小さくなければならない。</t>
    <rPh sb="0" eb="6">
      <t>ネツカクサンシケンチュウ</t>
    </rPh>
    <rPh sb="8" eb="10">
      <t>タイショウ</t>
    </rPh>
    <rPh sb="10" eb="12">
      <t>ブヒン</t>
    </rPh>
    <rPh sb="17" eb="19">
      <t>カイベン</t>
    </rPh>
    <rPh sb="19" eb="21">
      <t>アツリョク</t>
    </rPh>
    <rPh sb="27" eb="28">
      <t>ブ</t>
    </rPh>
    <rPh sb="28" eb="30">
      <t>ハッセイ</t>
    </rPh>
    <rPh sb="30" eb="32">
      <t>ヒッパリ</t>
    </rPh>
    <rPh sb="32" eb="34">
      <t>カジュウ</t>
    </rPh>
    <rPh sb="46" eb="47">
      <t>タカ</t>
    </rPh>
    <rPh sb="58" eb="64">
      <t>ネツカクサンシケンチュウ</t>
    </rPh>
    <rPh sb="65" eb="67">
      <t>ハイエン</t>
    </rPh>
    <rPh sb="86" eb="87">
      <t>チイ</t>
    </rPh>
    <phoneticPr fontId="6"/>
  </si>
  <si>
    <t>熱拡散機能主査DR チェックポイント集より</t>
    <rPh sb="18" eb="19">
      <t>シュウ</t>
    </rPh>
    <phoneticPr fontId="6"/>
  </si>
  <si>
    <t>未検討？
45PLの内圧と余剰空間の差から、シール性を確認。
余剰空間45PL ***L→今回***L　計算必要
その後、最大内圧とシール保証圧の安全率を計算</t>
    <rPh sb="0" eb="1">
      <t>ミ</t>
    </rPh>
    <rPh sb="1" eb="3">
      <t>ケントウ</t>
    </rPh>
    <rPh sb="10" eb="12">
      <t>ナイアツ</t>
    </rPh>
    <rPh sb="13" eb="15">
      <t>ヨジョウ</t>
    </rPh>
    <rPh sb="15" eb="17">
      <t>クウカン</t>
    </rPh>
    <rPh sb="18" eb="19">
      <t>サ</t>
    </rPh>
    <rPh sb="25" eb="26">
      <t>セイ</t>
    </rPh>
    <rPh sb="27" eb="29">
      <t>カクニン</t>
    </rPh>
    <rPh sb="31" eb="33">
      <t>ヨジョウ</t>
    </rPh>
    <rPh sb="33" eb="35">
      <t>クウカン</t>
    </rPh>
    <rPh sb="45" eb="47">
      <t>コンカイ</t>
    </rPh>
    <rPh sb="52" eb="54">
      <t>ケイサン</t>
    </rPh>
    <rPh sb="54" eb="56">
      <t>ヒツヨウ</t>
    </rPh>
    <rPh sb="59" eb="60">
      <t>ゴ</t>
    </rPh>
    <rPh sb="61" eb="63">
      <t>サイダイ</t>
    </rPh>
    <rPh sb="63" eb="65">
      <t>ナイアツ</t>
    </rPh>
    <rPh sb="69" eb="71">
      <t>ホショウ</t>
    </rPh>
    <rPh sb="71" eb="72">
      <t>アツ</t>
    </rPh>
    <rPh sb="73" eb="76">
      <t>アンゼンリツ</t>
    </rPh>
    <rPh sb="77" eb="79">
      <t>ケイサン</t>
    </rPh>
    <phoneticPr fontId="6"/>
  </si>
  <si>
    <t>ダミーセルがあるが、影響しないか。</t>
    <rPh sb="10" eb="12">
      <t>エイキョウ</t>
    </rPh>
    <phoneticPr fontId="6"/>
  </si>
  <si>
    <t>机上
内圧計算シートを使用(横谷さんのエクセル)
4号機試験にはパック内に圧力センサを入れる
 圧力解放閾値と流量の規定が必要</t>
    <rPh sb="0" eb="2">
      <t>キジョウ</t>
    </rPh>
    <rPh sb="3" eb="5">
      <t>ナイアツ</t>
    </rPh>
    <rPh sb="5" eb="7">
      <t>ケイサン</t>
    </rPh>
    <rPh sb="11" eb="13">
      <t>シヨウ</t>
    </rPh>
    <rPh sb="14" eb="16">
      <t>ヨコタニ</t>
    </rPh>
    <rPh sb="27" eb="29">
      <t>ゴウキ</t>
    </rPh>
    <rPh sb="29" eb="31">
      <t>シケン</t>
    </rPh>
    <rPh sb="36" eb="37">
      <t>ナイ</t>
    </rPh>
    <rPh sb="38" eb="40">
      <t>アツリョク</t>
    </rPh>
    <rPh sb="44" eb="45">
      <t>イ</t>
    </rPh>
    <rPh sb="49" eb="51">
      <t>アツリョク</t>
    </rPh>
    <rPh sb="51" eb="53">
      <t>カイホウ</t>
    </rPh>
    <rPh sb="53" eb="55">
      <t>シキイチ</t>
    </rPh>
    <rPh sb="56" eb="58">
      <t>リュウリョウ</t>
    </rPh>
    <rPh sb="59" eb="61">
      <t>キテイ</t>
    </rPh>
    <rPh sb="62" eb="64">
      <t>ヒツヨウ</t>
    </rPh>
    <phoneticPr fontId="6"/>
  </si>
  <si>
    <t>●</t>
    <phoneticPr fontId="6"/>
  </si>
  <si>
    <t>●</t>
  </si>
  <si>
    <t>号口と同じシール材なら合わせ面の温度と圧力で決まる。
セル単体の瞬間的な発熱量が何に起因して変わるか不明なので、現時点、ここは議論できず。知るための方法を総研＋単品評価で確認予定。
圧力は、下記の過圧を逃がすで議論。</t>
    <rPh sb="0" eb="2">
      <t>ゴウクチ</t>
    </rPh>
    <rPh sb="3" eb="4">
      <t>オナ</t>
    </rPh>
    <rPh sb="8" eb="9">
      <t>ザイ</t>
    </rPh>
    <rPh sb="11" eb="12">
      <t>ア</t>
    </rPh>
    <rPh sb="14" eb="15">
      <t>メン</t>
    </rPh>
    <rPh sb="16" eb="18">
      <t>オンド</t>
    </rPh>
    <rPh sb="19" eb="21">
      <t>アツリョク</t>
    </rPh>
    <rPh sb="22" eb="23">
      <t>キ</t>
    </rPh>
    <rPh sb="29" eb="31">
      <t>タンタイ</t>
    </rPh>
    <rPh sb="32" eb="35">
      <t>シュンカンテキ</t>
    </rPh>
    <rPh sb="36" eb="39">
      <t>ハツネツリョウ</t>
    </rPh>
    <rPh sb="40" eb="41">
      <t>ナニ</t>
    </rPh>
    <rPh sb="42" eb="44">
      <t>キイン</t>
    </rPh>
    <rPh sb="46" eb="47">
      <t>カ</t>
    </rPh>
    <rPh sb="50" eb="52">
      <t>フメイ</t>
    </rPh>
    <rPh sb="56" eb="59">
      <t>ゲンジテン</t>
    </rPh>
    <rPh sb="63" eb="65">
      <t>ギロン</t>
    </rPh>
    <rPh sb="69" eb="70">
      <t>シ</t>
    </rPh>
    <rPh sb="74" eb="76">
      <t>ホウホウ</t>
    </rPh>
    <rPh sb="77" eb="79">
      <t>ソウケン</t>
    </rPh>
    <rPh sb="80" eb="84">
      <t>タンピンヒョウカ</t>
    </rPh>
    <rPh sb="85" eb="89">
      <t>カクニンヨテイ</t>
    </rPh>
    <rPh sb="91" eb="93">
      <t>アツリョク</t>
    </rPh>
    <rPh sb="95" eb="97">
      <t>カキ</t>
    </rPh>
    <phoneticPr fontId="6"/>
  </si>
  <si>
    <t>過圧を逃がす</t>
    <phoneticPr fontId="6"/>
  </si>
  <si>
    <t>熱拡散試験中、排煙バルブは単セルから発生する流量と電池パックの余剰体積により決まる圧力で開弁しなければならない。</t>
    <rPh sb="0" eb="6">
      <t>ネツカクサンシケンチュウ</t>
    </rPh>
    <rPh sb="7" eb="9">
      <t>ハイエン</t>
    </rPh>
    <rPh sb="13" eb="14">
      <t>タン</t>
    </rPh>
    <rPh sb="18" eb="20">
      <t>ハッセイ</t>
    </rPh>
    <rPh sb="23" eb="25">
      <t>リュウリョウ</t>
    </rPh>
    <rPh sb="25" eb="27">
      <t>デンチ</t>
    </rPh>
    <rPh sb="32" eb="34">
      <t>ヨジョウ</t>
    </rPh>
    <rPh sb="34" eb="36">
      <t>タイセキ</t>
    </rPh>
    <rPh sb="39" eb="40">
      <t>キ</t>
    </rPh>
    <rPh sb="42" eb="44">
      <t>アツリョク</t>
    </rPh>
    <phoneticPr fontId="6"/>
  </si>
  <si>
    <t>未検討？
45PLの内圧と余剰空間の差から、内圧見積もりと圧力解放弁の開弁圧を比較。</t>
    <rPh sb="22" eb="24">
      <t>ナイアツ</t>
    </rPh>
    <rPh sb="24" eb="26">
      <t>ミツ</t>
    </rPh>
    <rPh sb="29" eb="34">
      <t>アツリョクカイホウベン</t>
    </rPh>
    <rPh sb="35" eb="38">
      <t>カイベンアツ</t>
    </rPh>
    <rPh sb="39" eb="41">
      <t>ヒカク</t>
    </rPh>
    <phoneticPr fontId="6"/>
  </si>
  <si>
    <t>↑　</t>
    <phoneticPr fontId="6"/>
  </si>
  <si>
    <t>CtoPでの変化は、セルへの拘束荷重と余剰空間。
余剰空間は算出してください。多少の差であれば現状把握と実測確認でよい？
拘束荷重は、初期設計値に対し、発煙後の時系列的な変化をMTOPと比較したい。</t>
    <rPh sb="6" eb="8">
      <t>ヘンカ</t>
    </rPh>
    <rPh sb="14" eb="18">
      <t>コウソクカジュウ</t>
    </rPh>
    <rPh sb="19" eb="23">
      <t>ヨジョウクウカン</t>
    </rPh>
    <rPh sb="25" eb="29">
      <t>ヨジョウクウカン</t>
    </rPh>
    <rPh sb="30" eb="32">
      <t>サンシュツ</t>
    </rPh>
    <rPh sb="39" eb="41">
      <t>タショウ</t>
    </rPh>
    <rPh sb="42" eb="43">
      <t>サ</t>
    </rPh>
    <rPh sb="47" eb="51">
      <t>ゲンジョウハアク</t>
    </rPh>
    <rPh sb="52" eb="56">
      <t>ジッソクカクニン</t>
    </rPh>
    <rPh sb="61" eb="65">
      <t>コウソクカジュウ</t>
    </rPh>
    <rPh sb="67" eb="72">
      <t>ショキセッケイチ</t>
    </rPh>
    <rPh sb="73" eb="74">
      <t>タイ</t>
    </rPh>
    <rPh sb="76" eb="79">
      <t>ハツエンゴ</t>
    </rPh>
    <rPh sb="80" eb="84">
      <t>ジケイレツテキ</t>
    </rPh>
    <rPh sb="85" eb="87">
      <t>ヘンカ</t>
    </rPh>
    <rPh sb="93" eb="95">
      <t>ヒカク</t>
    </rPh>
    <phoneticPr fontId="6"/>
  </si>
  <si>
    <t>デブリ・溶融金属によるブリッジ（短絡）を防止する</t>
    <phoneticPr fontId="6"/>
  </si>
  <si>
    <t>熱拡散試験後、&lt;対象部品&gt;は絶縁抵抗を100MΩ以上に維持しなければならない</t>
    <rPh sb="0" eb="1">
      <t>ネツ</t>
    </rPh>
    <rPh sb="1" eb="3">
      <t>カクサン</t>
    </rPh>
    <rPh sb="3" eb="5">
      <t>シケン</t>
    </rPh>
    <rPh sb="5" eb="6">
      <t>ゴ</t>
    </rPh>
    <rPh sb="8" eb="12">
      <t>タイショウブヒン</t>
    </rPh>
    <rPh sb="14" eb="16">
      <t>ゼツエン</t>
    </rPh>
    <rPh sb="16" eb="18">
      <t>テイコウ</t>
    </rPh>
    <rPh sb="24" eb="26">
      <t>イジョウ</t>
    </rPh>
    <rPh sb="27" eb="29">
      <t>イジ</t>
    </rPh>
    <phoneticPr fontId="6"/>
  </si>
  <si>
    <t>＜絶縁カバー＞
ミニモ試験にて絶縁カバー上の温度推定、セル噴出温度850度予想で400℃前後の見込み。単品評価では間違いなく〇レベル。絶縁カバー裏の温度予測ができていない
＜MOD間バスバ、総±バスバー＞
700℃×30min後の絶縁確保済み。
＜PN絶縁板＞
ミニモ試験にて絶縁板表面温度は450℃程度であり、TaG試験でもマイカ板同等の性能であった為、耐熱は○見込み。ただし噴出したデブリ量がPN絶縁板部にどこまで堆積するか不明。
またセル側面や底面からの破裂があった場合にどこまでの耐熱が必要になるかの確認が必要。
＜UPR断熱材＞
単品T&amp;G試験(※課題あり)にて、45PL以上の実力を確認済み。</t>
    <rPh sb="1" eb="3">
      <t>ゼツエン</t>
    </rPh>
    <rPh sb="11" eb="13">
      <t>シケン</t>
    </rPh>
    <rPh sb="15" eb="17">
      <t>ゼツエン</t>
    </rPh>
    <rPh sb="20" eb="21">
      <t>ジョウ</t>
    </rPh>
    <rPh sb="22" eb="24">
      <t>オンド</t>
    </rPh>
    <rPh sb="24" eb="26">
      <t>スイテイ</t>
    </rPh>
    <rPh sb="29" eb="31">
      <t>フンシュツ</t>
    </rPh>
    <rPh sb="31" eb="33">
      <t>オンド</t>
    </rPh>
    <rPh sb="36" eb="37">
      <t>ド</t>
    </rPh>
    <rPh sb="37" eb="39">
      <t>ヨソウ</t>
    </rPh>
    <rPh sb="44" eb="46">
      <t>ゼンゴ</t>
    </rPh>
    <rPh sb="47" eb="49">
      <t>ミコ</t>
    </rPh>
    <rPh sb="51" eb="53">
      <t>タンピン</t>
    </rPh>
    <rPh sb="53" eb="55">
      <t>ヒョウカ</t>
    </rPh>
    <rPh sb="57" eb="59">
      <t>マチガ</t>
    </rPh>
    <rPh sb="67" eb="69">
      <t>ゼツエン</t>
    </rPh>
    <rPh sb="72" eb="73">
      <t>ウラ</t>
    </rPh>
    <rPh sb="74" eb="76">
      <t>オンド</t>
    </rPh>
    <rPh sb="76" eb="78">
      <t>ヨソク</t>
    </rPh>
    <rPh sb="90" eb="91">
      <t>カン</t>
    </rPh>
    <rPh sb="95" eb="96">
      <t>ソウ</t>
    </rPh>
    <rPh sb="113" eb="114">
      <t>ゴ</t>
    </rPh>
    <rPh sb="115" eb="117">
      <t>ゼツエン</t>
    </rPh>
    <rPh sb="117" eb="119">
      <t>カクホ</t>
    </rPh>
    <rPh sb="119" eb="120">
      <t>ズ</t>
    </rPh>
    <rPh sb="126" eb="128">
      <t>ゼツエン</t>
    </rPh>
    <rPh sb="128" eb="129">
      <t>イタ</t>
    </rPh>
    <rPh sb="134" eb="136">
      <t>シケン</t>
    </rPh>
    <rPh sb="138" eb="140">
      <t>ゼツエン</t>
    </rPh>
    <rPh sb="140" eb="141">
      <t>イタ</t>
    </rPh>
    <rPh sb="141" eb="143">
      <t>ヒョウメン</t>
    </rPh>
    <rPh sb="143" eb="145">
      <t>オンド</t>
    </rPh>
    <rPh sb="150" eb="152">
      <t>テイド</t>
    </rPh>
    <rPh sb="159" eb="161">
      <t>シケン</t>
    </rPh>
    <rPh sb="166" eb="167">
      <t>イタ</t>
    </rPh>
    <rPh sb="167" eb="169">
      <t>ドウトウ</t>
    </rPh>
    <rPh sb="170" eb="172">
      <t>セイノウ</t>
    </rPh>
    <rPh sb="176" eb="177">
      <t>タメ</t>
    </rPh>
    <rPh sb="178" eb="180">
      <t>タイネツ</t>
    </rPh>
    <rPh sb="182" eb="184">
      <t>ミコ</t>
    </rPh>
    <rPh sb="189" eb="191">
      <t>フンシュツ</t>
    </rPh>
    <rPh sb="196" eb="197">
      <t>リョウ</t>
    </rPh>
    <rPh sb="200" eb="202">
      <t>ゼツエン</t>
    </rPh>
    <rPh sb="202" eb="203">
      <t>イタ</t>
    </rPh>
    <rPh sb="203" eb="204">
      <t>ブ</t>
    </rPh>
    <rPh sb="209" eb="211">
      <t>タイセキ</t>
    </rPh>
    <rPh sb="214" eb="216">
      <t>フメイ</t>
    </rPh>
    <rPh sb="225" eb="227">
      <t>ソコメン</t>
    </rPh>
    <rPh sb="230" eb="232">
      <t>ハレツ</t>
    </rPh>
    <rPh sb="236" eb="238">
      <t>バアイ</t>
    </rPh>
    <rPh sb="244" eb="246">
      <t>タイネツ</t>
    </rPh>
    <rPh sb="247" eb="249">
      <t>ヒツヨウ</t>
    </rPh>
    <rPh sb="254" eb="256">
      <t>カクニン</t>
    </rPh>
    <rPh sb="257" eb="259">
      <t>ヒツヨウ</t>
    </rPh>
    <rPh sb="265" eb="268">
      <t>ダンネツザイ</t>
    </rPh>
    <rPh sb="270" eb="272">
      <t>タンピン</t>
    </rPh>
    <rPh sb="275" eb="277">
      <t>シケン</t>
    </rPh>
    <rPh sb="279" eb="281">
      <t>カダイ</t>
    </rPh>
    <rPh sb="291" eb="293">
      <t>イジョウ</t>
    </rPh>
    <rPh sb="294" eb="296">
      <t>ジツリョク</t>
    </rPh>
    <rPh sb="297" eb="299">
      <t>カクニン</t>
    </rPh>
    <rPh sb="299" eb="300">
      <t>ズ</t>
    </rPh>
    <phoneticPr fontId="6"/>
  </si>
  <si>
    <t>＜絶縁カバー＞
ミニモとパック試験で、噴出物挙動、ガス温度、噴出物温度が違うと予想しており、机上予測が困難で、今後ミニモ試験での代用ができるかを検討したいため、絶縁カバー周辺の温度×時間データが必要。あればWhatif分析で推測予定。
＜MOD間バスバ、総±バスバー＞
絶縁カバーと同じ
＜PN絶縁板＞
絶縁カバーと同様にミニモとパック試験での違いを明確にするため、PN絶縁板周辺温度×時間データとデブリ堆積量とデブリから受熱する熱エネルギーを測定したい。
＜UPR断熱材＞
UPR断熱材裏の測温</t>
    <rPh sb="15" eb="17">
      <t>シケン</t>
    </rPh>
    <rPh sb="19" eb="21">
      <t>フンシュツ</t>
    </rPh>
    <rPh sb="21" eb="22">
      <t>ブツ</t>
    </rPh>
    <rPh sb="22" eb="24">
      <t>キョドウ</t>
    </rPh>
    <rPh sb="27" eb="29">
      <t>オンド</t>
    </rPh>
    <rPh sb="30" eb="33">
      <t>フンシュツブツ</t>
    </rPh>
    <rPh sb="33" eb="35">
      <t>オンド</t>
    </rPh>
    <rPh sb="36" eb="37">
      <t>チガ</t>
    </rPh>
    <rPh sb="39" eb="41">
      <t>ヨソウ</t>
    </rPh>
    <rPh sb="46" eb="48">
      <t>キジョウ</t>
    </rPh>
    <rPh sb="48" eb="50">
      <t>ヨソク</t>
    </rPh>
    <rPh sb="51" eb="53">
      <t>コンナン</t>
    </rPh>
    <rPh sb="55" eb="57">
      <t>コンゴ</t>
    </rPh>
    <rPh sb="60" eb="62">
      <t>シケン</t>
    </rPh>
    <rPh sb="64" eb="66">
      <t>ダイヨウ</t>
    </rPh>
    <rPh sb="72" eb="74">
      <t>ケントウ</t>
    </rPh>
    <rPh sb="80" eb="82">
      <t>ゼツエン</t>
    </rPh>
    <rPh sb="85" eb="87">
      <t>シュウヘン</t>
    </rPh>
    <rPh sb="88" eb="90">
      <t>オンド</t>
    </rPh>
    <rPh sb="91" eb="93">
      <t>ジカン</t>
    </rPh>
    <rPh sb="97" eb="99">
      <t>ヒツヨウ</t>
    </rPh>
    <rPh sb="109" eb="111">
      <t>ブンセキ</t>
    </rPh>
    <rPh sb="112" eb="114">
      <t>スイソク</t>
    </rPh>
    <rPh sb="114" eb="116">
      <t>ヨテイ</t>
    </rPh>
    <rPh sb="135" eb="137">
      <t>ゼツエン</t>
    </rPh>
    <rPh sb="141" eb="142">
      <t>オナ</t>
    </rPh>
    <rPh sb="147" eb="149">
      <t>ゼツエン</t>
    </rPh>
    <rPh sb="149" eb="150">
      <t>イタ</t>
    </rPh>
    <rPh sb="152" eb="154">
      <t>ゼツエン</t>
    </rPh>
    <rPh sb="158" eb="160">
      <t>ドウヨウ</t>
    </rPh>
    <rPh sb="168" eb="170">
      <t>シケン</t>
    </rPh>
    <rPh sb="172" eb="173">
      <t>チガ</t>
    </rPh>
    <rPh sb="175" eb="177">
      <t>メイカク</t>
    </rPh>
    <rPh sb="185" eb="187">
      <t>ゼツエン</t>
    </rPh>
    <rPh sb="187" eb="188">
      <t>イタ</t>
    </rPh>
    <rPh sb="188" eb="190">
      <t>シュウヘン</t>
    </rPh>
    <rPh sb="190" eb="192">
      <t>オンド</t>
    </rPh>
    <rPh sb="193" eb="195">
      <t>ジカン</t>
    </rPh>
    <rPh sb="202" eb="204">
      <t>タイセキ</t>
    </rPh>
    <rPh sb="204" eb="205">
      <t>リョウ</t>
    </rPh>
    <rPh sb="211" eb="213">
      <t>ジュネツ</t>
    </rPh>
    <rPh sb="215" eb="216">
      <t>ネツ</t>
    </rPh>
    <rPh sb="222" eb="224">
      <t>ソクテイ</t>
    </rPh>
    <rPh sb="233" eb="236">
      <t>ダンネツザイ</t>
    </rPh>
    <rPh sb="241" eb="244">
      <t>ダンネツザイ</t>
    </rPh>
    <rPh sb="244" eb="245">
      <t>ウラ</t>
    </rPh>
    <phoneticPr fontId="6"/>
  </si>
  <si>
    <t>現状無い状態。
絶縁カバー、モジュール間バスバーの温度のストレスの定義方法
デブリの大きさ、量、飛散状況の見積もりが必要。
アルミ溶質によるセル間短絡は、アルミの導電率で計算が必要
T&amp;G試験はあるが、内容物の質量,粒径,速度とどこまで一致しているかは不明なのが実情⇒単セル評価にて定量化を要検討</t>
    <rPh sb="0" eb="2">
      <t>ゲンジョウ</t>
    </rPh>
    <rPh sb="2" eb="3">
      <t>ナ</t>
    </rPh>
    <rPh sb="4" eb="6">
      <t>ジョウタイ</t>
    </rPh>
    <rPh sb="8" eb="10">
      <t>ゼツエン</t>
    </rPh>
    <rPh sb="19" eb="20">
      <t>カン</t>
    </rPh>
    <rPh sb="25" eb="27">
      <t>オンド</t>
    </rPh>
    <rPh sb="33" eb="35">
      <t>テイギ</t>
    </rPh>
    <rPh sb="35" eb="37">
      <t>ホウホウ</t>
    </rPh>
    <rPh sb="43" eb="44">
      <t>オオ</t>
    </rPh>
    <rPh sb="47" eb="48">
      <t>リョウ</t>
    </rPh>
    <rPh sb="49" eb="53">
      <t>ヒサンジョウキョウ</t>
    </rPh>
    <rPh sb="54" eb="56">
      <t>ミツ</t>
    </rPh>
    <rPh sb="59" eb="61">
      <t>ヒツヨウ</t>
    </rPh>
    <rPh sb="66" eb="68">
      <t>ヨウシツ</t>
    </rPh>
    <rPh sb="73" eb="74">
      <t>カン</t>
    </rPh>
    <rPh sb="74" eb="76">
      <t>タンラク</t>
    </rPh>
    <rPh sb="82" eb="85">
      <t>ドウデンリツ</t>
    </rPh>
    <rPh sb="86" eb="88">
      <t>ケイサン</t>
    </rPh>
    <rPh sb="89" eb="91">
      <t>ヒツヨウ</t>
    </rPh>
    <rPh sb="96" eb="98">
      <t>シケン</t>
    </rPh>
    <rPh sb="103" eb="106">
      <t>ナイヨウブツ</t>
    </rPh>
    <rPh sb="107" eb="109">
      <t>シツリョウ</t>
    </rPh>
    <rPh sb="110" eb="111">
      <t>ツブ</t>
    </rPh>
    <rPh sb="111" eb="112">
      <t>ケイ</t>
    </rPh>
    <rPh sb="113" eb="115">
      <t>ソクド</t>
    </rPh>
    <rPh sb="120" eb="122">
      <t>イッチ</t>
    </rPh>
    <rPh sb="128" eb="130">
      <t>フメイ</t>
    </rPh>
    <rPh sb="133" eb="135">
      <t>ジツジョウ</t>
    </rPh>
    <phoneticPr fontId="6"/>
  </si>
  <si>
    <t>総電圧：560 V
漏れ電流：5.6 μA
発熱量：3.14 mW　
100MΩであれば発熱量は無視できるレベルと判断</t>
    <phoneticPr fontId="6"/>
  </si>
  <si>
    <t>デブリ飛散予測技術は、未確立？
Assyでは、CtoP構造、排煙経路から傾向把握。
別ラインで単品セルで拘束荷重/SOC/他何がある？？を振って、N数稼いで傾向を見る。
防御構造の設計最悪値を明示すること。</t>
    <rPh sb="3" eb="9">
      <t>ヒサンヨソクギジュツ</t>
    </rPh>
    <rPh sb="11" eb="12">
      <t>ミ</t>
    </rPh>
    <rPh sb="12" eb="14">
      <t>カクリツ</t>
    </rPh>
    <rPh sb="27" eb="29">
      <t>コウゾウ</t>
    </rPh>
    <rPh sb="30" eb="32">
      <t>ハイエン</t>
    </rPh>
    <rPh sb="32" eb="34">
      <t>ケイロ</t>
    </rPh>
    <rPh sb="36" eb="38">
      <t>ケイコウ</t>
    </rPh>
    <rPh sb="38" eb="40">
      <t>ハアク</t>
    </rPh>
    <rPh sb="42" eb="43">
      <t>ベツ</t>
    </rPh>
    <rPh sb="47" eb="49">
      <t>タンピン</t>
    </rPh>
    <rPh sb="52" eb="56">
      <t>コウソクカジュウ</t>
    </rPh>
    <rPh sb="61" eb="63">
      <t>ホカナニ</t>
    </rPh>
    <rPh sb="69" eb="70">
      <t>フ</t>
    </rPh>
    <rPh sb="74" eb="76">
      <t>スウカセ</t>
    </rPh>
    <rPh sb="78" eb="80">
      <t>ケイコウ</t>
    </rPh>
    <rPh sb="81" eb="82">
      <t>ミ</t>
    </rPh>
    <rPh sb="85" eb="87">
      <t>ボウギョ</t>
    </rPh>
    <rPh sb="87" eb="89">
      <t>コウゾウ</t>
    </rPh>
    <rPh sb="90" eb="95">
      <t>セッケイサイアクチ</t>
    </rPh>
    <rPh sb="96" eb="98">
      <t>メイジ</t>
    </rPh>
    <phoneticPr fontId="6"/>
  </si>
  <si>
    <t>・熱拡散試験後、&lt;対象部品&gt;では活電部とアッパー、PN間が絶縁材で保護されていなければならない。ただし、GNDとセルの絶縁担保は除く。
・熱拡散試験後、活電部に絶縁保護材がある場合、&lt;対象部品&gt;の耐熱要件を確認し、設定要否を判断すること</t>
    <rPh sb="1" eb="6">
      <t>ネツカクサンシケン</t>
    </rPh>
    <rPh sb="6" eb="7">
      <t>ゴ</t>
    </rPh>
    <rPh sb="9" eb="13">
      <t>タイショウブヒン</t>
    </rPh>
    <rPh sb="16" eb="18">
      <t>カツデン</t>
    </rPh>
    <rPh sb="18" eb="19">
      <t>ブ</t>
    </rPh>
    <rPh sb="27" eb="28">
      <t>カン</t>
    </rPh>
    <rPh sb="29" eb="32">
      <t>ゼツエンザイ</t>
    </rPh>
    <rPh sb="33" eb="35">
      <t>ホゴ</t>
    </rPh>
    <rPh sb="59" eb="61">
      <t>ゼツエン</t>
    </rPh>
    <rPh sb="61" eb="63">
      <t>タンポ</t>
    </rPh>
    <rPh sb="64" eb="65">
      <t>ノゾ</t>
    </rPh>
    <rPh sb="69" eb="74">
      <t>ネツカクサンシケン</t>
    </rPh>
    <rPh sb="74" eb="75">
      <t>ゴ</t>
    </rPh>
    <rPh sb="76" eb="79">
      <t>カツデンブ</t>
    </rPh>
    <rPh sb="80" eb="82">
      <t>ゼツエン</t>
    </rPh>
    <rPh sb="82" eb="85">
      <t>ホゴザイ</t>
    </rPh>
    <rPh sb="88" eb="90">
      <t>バアイ</t>
    </rPh>
    <rPh sb="92" eb="96">
      <t>タイショウブヒン</t>
    </rPh>
    <rPh sb="98" eb="100">
      <t>タイネツ</t>
    </rPh>
    <rPh sb="100" eb="102">
      <t>ヨウケン</t>
    </rPh>
    <rPh sb="103" eb="105">
      <t>カクニン</t>
    </rPh>
    <rPh sb="107" eb="111">
      <t>セッテイヨウヒ</t>
    </rPh>
    <rPh sb="112" eb="114">
      <t>ハンダン</t>
    </rPh>
    <phoneticPr fontId="6"/>
  </si>
  <si>
    <t>＜絶縁カバー＞
活電部カバー済み、ただし、MOD間バスバと絶縁カバーのラップ量がﾂﾗｲﾁ設定のため評価にて確認したい。ただし、インプットが変わっても推定できるか未検討
＜MOD間バスバ＞
700℃×30min後の絶縁確保済み。</t>
    <rPh sb="4" eb="6">
      <t>ジョウメン</t>
    </rPh>
    <rPh sb="6" eb="7">
      <t>シ</t>
    </rPh>
    <rPh sb="8" eb="11">
      <t>カツデンブ</t>
    </rPh>
    <rPh sb="14" eb="15">
      <t>ズ</t>
    </rPh>
    <rPh sb="24" eb="25">
      <t>カン</t>
    </rPh>
    <rPh sb="29" eb="31">
      <t>ゼツエン</t>
    </rPh>
    <rPh sb="38" eb="39">
      <t>リョウ</t>
    </rPh>
    <rPh sb="44" eb="46">
      <t>セッテイ</t>
    </rPh>
    <rPh sb="49" eb="51">
      <t>ヒョウカ</t>
    </rPh>
    <rPh sb="53" eb="55">
      <t>カクニン</t>
    </rPh>
    <rPh sb="69" eb="70">
      <t>カ</t>
    </rPh>
    <rPh sb="74" eb="76">
      <t>スイテイ</t>
    </rPh>
    <rPh sb="80" eb="83">
      <t>ミケントウ</t>
    </rPh>
    <phoneticPr fontId="6"/>
  </si>
  <si>
    <t>＜絶縁カバー＞
噴出物の挙動、圧力による変形で活電部が露出しないか。圧力値・噴出物量が変わった際の予測ができるか不明
＜MOD間バスバ＞
絶縁カバーと同じ</t>
    <rPh sb="1" eb="3">
      <t>ゼツエン</t>
    </rPh>
    <rPh sb="8" eb="10">
      <t>フンシュツ</t>
    </rPh>
    <rPh sb="10" eb="11">
      <t>ブツ</t>
    </rPh>
    <rPh sb="12" eb="14">
      <t>キョドウ</t>
    </rPh>
    <rPh sb="15" eb="17">
      <t>アツリョク</t>
    </rPh>
    <rPh sb="20" eb="22">
      <t>ヘンケイ</t>
    </rPh>
    <rPh sb="23" eb="25">
      <t>カツデン</t>
    </rPh>
    <rPh sb="25" eb="26">
      <t>ブ</t>
    </rPh>
    <rPh sb="27" eb="29">
      <t>ロシュツ</t>
    </rPh>
    <rPh sb="34" eb="37">
      <t>アツリョクチ</t>
    </rPh>
    <rPh sb="38" eb="41">
      <t>フンシュツブツ</t>
    </rPh>
    <rPh sb="41" eb="42">
      <t>リョウ</t>
    </rPh>
    <rPh sb="43" eb="44">
      <t>カ</t>
    </rPh>
    <rPh sb="47" eb="48">
      <t>サイ</t>
    </rPh>
    <rPh sb="49" eb="51">
      <t>ヨソク</t>
    </rPh>
    <rPh sb="56" eb="58">
      <t>フメイ</t>
    </rPh>
    <phoneticPr fontId="6"/>
  </si>
  <si>
    <t>アッパーと活電部間でリークさせない
MOD間バスバ間でリークさせない
※高耐熱で保護されている箇所除く</t>
    <phoneticPr fontId="6"/>
  </si>
  <si>
    <t>同上でよい？？</t>
    <rPh sb="0" eb="2">
      <t>ドウジョウ</t>
    </rPh>
    <phoneticPr fontId="6"/>
  </si>
  <si>
    <t>脱落・剥離・破損なく形状を保持する</t>
    <phoneticPr fontId="6"/>
  </si>
  <si>
    <t>熱拡散試験中、&lt;対象部品&gt;は短絡、熱連鎖を引き起こす状態変化を生じてはならない。</t>
    <rPh sb="0" eb="5">
      <t>ネツカクサンシケン</t>
    </rPh>
    <rPh sb="5" eb="6">
      <t>チュウ</t>
    </rPh>
    <rPh sb="8" eb="12">
      <t>タイショウブヒン</t>
    </rPh>
    <rPh sb="21" eb="22">
      <t>ヒ</t>
    </rPh>
    <rPh sb="23" eb="24">
      <t>オ</t>
    </rPh>
    <rPh sb="28" eb="30">
      <t>ヘンカ</t>
    </rPh>
    <rPh sb="31" eb="32">
      <t>ショウ</t>
    </rPh>
    <phoneticPr fontId="6"/>
  </si>
  <si>
    <t>＜絶縁カバー＞
ミニモ試験結果より、単層構造に変更。ただし、ストレングス、ストレスの把握手段がなく机上目途が立っていない
＜PN絶縁板＞
セル熱暴走時の温度×圧力での破損懸念あり。単品熱プレス試験(800℃×260s)で形状保持できることを確認。
＜セル間断熱材＞
800℃ヒートプレス試験にて形状保持を確認
&lt;UPR断熱材&gt;
T&amp;G試験(※課題あり)にて45PL以上のサイクル数を確認
＜熱伝導材＞
100℃付近の熱伝導率未測定
＜冷却器＞
冷却プレート用接着剤は120℃までは耐熱性あり、高温接着強度は未測定</t>
    <rPh sb="11" eb="13">
      <t>シケン</t>
    </rPh>
    <rPh sb="13" eb="15">
      <t>ケッカ</t>
    </rPh>
    <rPh sb="18" eb="20">
      <t>タンソウ</t>
    </rPh>
    <rPh sb="20" eb="22">
      <t>コウゾウ</t>
    </rPh>
    <rPh sb="23" eb="25">
      <t>ヘンコウ</t>
    </rPh>
    <rPh sb="42" eb="44">
      <t>ハアク</t>
    </rPh>
    <rPh sb="44" eb="46">
      <t>シュダン</t>
    </rPh>
    <rPh sb="49" eb="51">
      <t>キジョウ</t>
    </rPh>
    <rPh sb="51" eb="53">
      <t>メド</t>
    </rPh>
    <rPh sb="54" eb="55">
      <t>タ</t>
    </rPh>
    <rPh sb="64" eb="66">
      <t>ゼツエン</t>
    </rPh>
    <rPh sb="66" eb="67">
      <t>イタ</t>
    </rPh>
    <rPh sb="71" eb="75">
      <t>ネツボウソウジ</t>
    </rPh>
    <rPh sb="76" eb="78">
      <t>オンド</t>
    </rPh>
    <rPh sb="79" eb="81">
      <t>アツリョク</t>
    </rPh>
    <rPh sb="83" eb="85">
      <t>ハソン</t>
    </rPh>
    <rPh sb="85" eb="87">
      <t>ケネン</t>
    </rPh>
    <rPh sb="90" eb="92">
      <t>タンピン</t>
    </rPh>
    <rPh sb="92" eb="93">
      <t>ネツ</t>
    </rPh>
    <rPh sb="96" eb="98">
      <t>シケン</t>
    </rPh>
    <rPh sb="110" eb="112">
      <t>ケイジョウ</t>
    </rPh>
    <rPh sb="112" eb="114">
      <t>ホジ</t>
    </rPh>
    <rPh sb="120" eb="122">
      <t>カクニン</t>
    </rPh>
    <rPh sb="127" eb="128">
      <t>カン</t>
    </rPh>
    <rPh sb="128" eb="131">
      <t>ダンネツザイ</t>
    </rPh>
    <rPh sb="143" eb="145">
      <t>シケン</t>
    </rPh>
    <rPh sb="147" eb="151">
      <t>ケイジョウホジ</t>
    </rPh>
    <rPh sb="152" eb="154">
      <t>カクニン</t>
    </rPh>
    <rPh sb="159" eb="162">
      <t>ダンネツザイ</t>
    </rPh>
    <rPh sb="167" eb="169">
      <t>シケン</t>
    </rPh>
    <rPh sb="171" eb="173">
      <t>カダイ</t>
    </rPh>
    <rPh sb="182" eb="184">
      <t>イジョウ</t>
    </rPh>
    <rPh sb="189" eb="190">
      <t>スウ</t>
    </rPh>
    <rPh sb="191" eb="193">
      <t>カクニン</t>
    </rPh>
    <rPh sb="195" eb="198">
      <t>ネツデンドウ</t>
    </rPh>
    <rPh sb="198" eb="199">
      <t>ザイ</t>
    </rPh>
    <rPh sb="205" eb="207">
      <t>フキン</t>
    </rPh>
    <rPh sb="208" eb="209">
      <t>ネツ</t>
    </rPh>
    <rPh sb="209" eb="212">
      <t>デンドウリツ</t>
    </rPh>
    <rPh sb="212" eb="215">
      <t>ミソクテイ</t>
    </rPh>
    <rPh sb="217" eb="220">
      <t>レイキャクキ</t>
    </rPh>
    <rPh sb="222" eb="224">
      <t>レイキャク</t>
    </rPh>
    <rPh sb="228" eb="229">
      <t>ヨウ</t>
    </rPh>
    <rPh sb="229" eb="232">
      <t>セッチャクザイ</t>
    </rPh>
    <rPh sb="240" eb="243">
      <t>タイネツセイ</t>
    </rPh>
    <rPh sb="246" eb="248">
      <t>コウオン</t>
    </rPh>
    <rPh sb="248" eb="250">
      <t>セッチャク</t>
    </rPh>
    <rPh sb="250" eb="252">
      <t>キョウド</t>
    </rPh>
    <rPh sb="253" eb="256">
      <t>ミソクテイ</t>
    </rPh>
    <phoneticPr fontId="6"/>
  </si>
  <si>
    <t xml:space="preserve">＜絶縁カバー＞
無し　ミニモ試験で代替評価できると推測
＜PN絶縁板＞
ミニモ試験で代用できると推測できるが、拘束荷重(面圧分布?）がミニモとパックでの違いがないかは確認したい
＜セル間断熱材＞
トリガーセル,隣接セルの腹面熱電対添付。
＜UPR断熱材＞
UPR断熱材裏面温度測定
</t>
    <rPh sb="1" eb="3">
      <t>ゼツエン</t>
    </rPh>
    <rPh sb="8" eb="9">
      <t>ナ</t>
    </rPh>
    <rPh sb="14" eb="16">
      <t>シケン</t>
    </rPh>
    <rPh sb="17" eb="19">
      <t>ダイタイ</t>
    </rPh>
    <rPh sb="19" eb="21">
      <t>ヒョウカ</t>
    </rPh>
    <rPh sb="25" eb="27">
      <t>スイソク</t>
    </rPh>
    <rPh sb="31" eb="33">
      <t>ゼツエン</t>
    </rPh>
    <rPh sb="33" eb="34">
      <t>イタ</t>
    </rPh>
    <rPh sb="39" eb="41">
      <t>シケン</t>
    </rPh>
    <rPh sb="42" eb="44">
      <t>ダイヨウ</t>
    </rPh>
    <rPh sb="48" eb="50">
      <t>スイソク</t>
    </rPh>
    <rPh sb="55" eb="57">
      <t>コウソク</t>
    </rPh>
    <rPh sb="57" eb="59">
      <t>カジュウ</t>
    </rPh>
    <rPh sb="60" eb="62">
      <t>メンアツ</t>
    </rPh>
    <rPh sb="62" eb="64">
      <t>ブンプ</t>
    </rPh>
    <rPh sb="76" eb="77">
      <t>チガ</t>
    </rPh>
    <rPh sb="83" eb="85">
      <t>カクニン</t>
    </rPh>
    <rPh sb="123" eb="126">
      <t>ダンネツザイ</t>
    </rPh>
    <rPh sb="131" eb="134">
      <t>ダンネツザイ</t>
    </rPh>
    <rPh sb="134" eb="136">
      <t>ウラメン</t>
    </rPh>
    <rPh sb="136" eb="138">
      <t>オンド</t>
    </rPh>
    <rPh sb="138" eb="140">
      <t>ソクテイ</t>
    </rPh>
    <phoneticPr fontId="6"/>
  </si>
  <si>
    <t>熱暴走時の爆風による機能損失
高熱による機能損失
上記機能損失があると003/004を満足できないため</t>
    <phoneticPr fontId="6"/>
  </si>
  <si>
    <t>これは、絶縁カバーの事？？
Assy評価でアッパーカバーの開き具合見ておこう！
MtoPと差がないと思うけど、、、セルのふくらみで、アンダーケース側面が
変形して、アッパーカバーが下がってくることないか？</t>
    <rPh sb="4" eb="6">
      <t>ゼツエン</t>
    </rPh>
    <rPh sb="10" eb="11">
      <t>コト</t>
    </rPh>
    <rPh sb="18" eb="20">
      <t>ヒョウカ</t>
    </rPh>
    <rPh sb="29" eb="30">
      <t>ヒラ</t>
    </rPh>
    <rPh sb="31" eb="33">
      <t>グアイ</t>
    </rPh>
    <rPh sb="33" eb="34">
      <t>ミ</t>
    </rPh>
    <rPh sb="45" eb="46">
      <t>サ</t>
    </rPh>
    <rPh sb="50" eb="51">
      <t>オモ</t>
    </rPh>
    <rPh sb="73" eb="75">
      <t>ソクメン</t>
    </rPh>
    <rPh sb="77" eb="79">
      <t>ヘンケイ</t>
    </rPh>
    <rPh sb="90" eb="91">
      <t>サ</t>
    </rPh>
    <phoneticPr fontId="6"/>
  </si>
  <si>
    <t>衝突変形後も活電部とアッパーカバーの接触を防ぐ</t>
    <phoneticPr fontId="6"/>
  </si>
  <si>
    <t>絶縁抵抗100MΩ以上
衝突による割れ、変形、破損による保護対象範囲のリークパス形成なきこと</t>
  </si>
  <si>
    <t>FMVSS 305a（衝突後の電気安全）</t>
    <phoneticPr fontId="6"/>
  </si>
  <si>
    <t>＜絶縁カバー＞
未検討</t>
    <rPh sb="1" eb="3">
      <t>ゼツエン</t>
    </rPh>
    <rPh sb="8" eb="11">
      <t>ミケントウ</t>
    </rPh>
    <phoneticPr fontId="6"/>
  </si>
  <si>
    <t>総電圧：560 V
漏れ電流：5.6 μA
発熱量：3.14 mW　
100MΩであれば発熱量は無視できるレベルと判断</t>
  </si>
  <si>
    <t>これは、熱拡散とは違う？？
端セル周辺構造の変化はCAEで見ているので、実機との整合を取ってください。</t>
    <rPh sb="4" eb="7">
      <t>ネツカクサン</t>
    </rPh>
    <rPh sb="9" eb="10">
      <t>チガ</t>
    </rPh>
    <rPh sb="14" eb="15">
      <t>ハシ</t>
    </rPh>
    <rPh sb="17" eb="21">
      <t>シュウヘンコウゾウ</t>
    </rPh>
    <rPh sb="22" eb="24">
      <t>ヘンカ</t>
    </rPh>
    <rPh sb="29" eb="30">
      <t>ミ</t>
    </rPh>
    <rPh sb="36" eb="38">
      <t>ジッキ</t>
    </rPh>
    <rPh sb="40" eb="42">
      <t>セイゴウ</t>
    </rPh>
    <rPh sb="43" eb="44">
      <t>ト</t>
    </rPh>
    <phoneticPr fontId="6"/>
  </si>
  <si>
    <t>セルと冷却器の接触を維持する</t>
    <phoneticPr fontId="6"/>
  </si>
  <si>
    <t>熱暴走発生後、&lt;対象部品&gt;でセルと熱伝導材との間に剥離を生じてはならない。</t>
    <rPh sb="3" eb="5">
      <t>ハッセイ</t>
    </rPh>
    <rPh sb="5" eb="6">
      <t>ゴ</t>
    </rPh>
    <rPh sb="8" eb="12">
      <t>タイショウブヒン</t>
    </rPh>
    <rPh sb="17" eb="21">
      <t>ネツデンドウザイ</t>
    </rPh>
    <rPh sb="23" eb="24">
      <t>アイダ</t>
    </rPh>
    <rPh sb="25" eb="27">
      <t>ハクリ</t>
    </rPh>
    <rPh sb="28" eb="29">
      <t>ショウナコト</t>
    </rPh>
    <phoneticPr fontId="6"/>
  </si>
  <si>
    <t>未検討？
&lt;構造用接着・構造用接着剤&gt;
CAE：GT-SUITEで温度推定。構造用接着剤及び冷却器接着剤をモデルに入れて計算。</t>
    <rPh sb="0" eb="3">
      <t>ミケントウ</t>
    </rPh>
    <rPh sb="6" eb="8">
      <t>コウゾウ</t>
    </rPh>
    <rPh sb="8" eb="9">
      <t>ヨウ</t>
    </rPh>
    <rPh sb="9" eb="11">
      <t>セッチャク</t>
    </rPh>
    <rPh sb="12" eb="14">
      <t>コウゾウ</t>
    </rPh>
    <rPh sb="14" eb="15">
      <t>ヨウ</t>
    </rPh>
    <rPh sb="15" eb="18">
      <t>セッチャクザイ</t>
    </rPh>
    <phoneticPr fontId="6"/>
  </si>
  <si>
    <t>トリガーセル,隣接セルの腹面乗下面及びLWRケース上面の熱電対添付。CAEの合わせこみに使用する。（セル発熱プロファイルを同定）</t>
    <rPh sb="7" eb="9">
      <t>リンセツ</t>
    </rPh>
    <rPh sb="12" eb="14">
      <t>ハラメン</t>
    </rPh>
    <rPh sb="14" eb="17">
      <t>ジョウカメン</t>
    </rPh>
    <rPh sb="17" eb="18">
      <t>オヨ</t>
    </rPh>
    <rPh sb="25" eb="27">
      <t>ジョウメン</t>
    </rPh>
    <rPh sb="28" eb="31">
      <t>ネツデンツイ</t>
    </rPh>
    <rPh sb="31" eb="33">
      <t>テンプ</t>
    </rPh>
    <rPh sb="38" eb="39">
      <t>ア</t>
    </rPh>
    <rPh sb="44" eb="46">
      <t>シヨウ</t>
    </rPh>
    <rPh sb="52" eb="54">
      <t>ハツネツ</t>
    </rPh>
    <rPh sb="61" eb="63">
      <t>ドウテイ</t>
    </rPh>
    <phoneticPr fontId="6"/>
  </si>
  <si>
    <t>CAE：GT-SUITEで温度推定。構造用接着剤及び冷却器接着剤をモデルに入れて計算。セルの発熱プロファイル及び上面雰囲気温度はLi6.B過去プロジェクトより流用 (※セルが変わった場合は一度ミニモジュール試験が必要。また連鎖した場合の発熱プロファイルは異なると思われるため、2セル試験にて同定予定）
コリレーション：</t>
    <rPh sb="13" eb="15">
      <t>オンド</t>
    </rPh>
    <rPh sb="15" eb="17">
      <t>スイテイ</t>
    </rPh>
    <rPh sb="18" eb="24">
      <t>コウゾウヨウセッチャクザイ</t>
    </rPh>
    <rPh sb="24" eb="25">
      <t>オヨ</t>
    </rPh>
    <rPh sb="26" eb="29">
      <t>レイキャクキ</t>
    </rPh>
    <rPh sb="29" eb="32">
      <t>セッチャクザイ</t>
    </rPh>
    <rPh sb="37" eb="38">
      <t>イ</t>
    </rPh>
    <rPh sb="40" eb="42">
      <t>ケイサン</t>
    </rPh>
    <rPh sb="46" eb="48">
      <t>ハツネツ</t>
    </rPh>
    <rPh sb="54" eb="55">
      <t>オヨ</t>
    </rPh>
    <rPh sb="56" eb="61">
      <t>ジョウメンフンイキ</t>
    </rPh>
    <rPh sb="61" eb="63">
      <t>オンド</t>
    </rPh>
    <rPh sb="69" eb="71">
      <t>カコ</t>
    </rPh>
    <rPh sb="79" eb="81">
      <t>リュウヨウ</t>
    </rPh>
    <rPh sb="87" eb="88">
      <t>カ</t>
    </rPh>
    <rPh sb="91" eb="93">
      <t>バアイ</t>
    </rPh>
    <rPh sb="94" eb="96">
      <t>イチド</t>
    </rPh>
    <rPh sb="103" eb="105">
      <t>シケン</t>
    </rPh>
    <rPh sb="106" eb="108">
      <t>ヒツヨウ</t>
    </rPh>
    <rPh sb="111" eb="113">
      <t>レンサ</t>
    </rPh>
    <rPh sb="115" eb="117">
      <t>バアイ</t>
    </rPh>
    <rPh sb="118" eb="120">
      <t>ハツネツ</t>
    </rPh>
    <rPh sb="127" eb="128">
      <t>コト</t>
    </rPh>
    <rPh sb="131" eb="132">
      <t>オモ</t>
    </rPh>
    <rPh sb="141" eb="143">
      <t>シケン</t>
    </rPh>
    <rPh sb="145" eb="147">
      <t>ドウテイ</t>
    </rPh>
    <rPh sb="147" eb="149">
      <t>ヨテイ</t>
    </rPh>
    <phoneticPr fontId="6"/>
  </si>
  <si>
    <t>CtoPでは、接着剤でRFに接着しているのみ。熱影響で接着力が下がることが想定される。上面方向に噴出している分には、セルはその場に居続けると思われる。実機では、何を見る？？</t>
    <rPh sb="7" eb="10">
      <t>セッチャクザイ</t>
    </rPh>
    <rPh sb="14" eb="16">
      <t>セッチャク</t>
    </rPh>
    <rPh sb="23" eb="26">
      <t>ネツエイキョウ</t>
    </rPh>
    <rPh sb="27" eb="30">
      <t>セッチャクリョク</t>
    </rPh>
    <rPh sb="31" eb="32">
      <t>サ</t>
    </rPh>
    <rPh sb="37" eb="39">
      <t>ソウテイ</t>
    </rPh>
    <rPh sb="43" eb="47">
      <t>ジョウメンホウコウ</t>
    </rPh>
    <rPh sb="48" eb="50">
      <t>フキダ</t>
    </rPh>
    <rPh sb="54" eb="55">
      <t>ブン</t>
    </rPh>
    <rPh sb="63" eb="64">
      <t>バ</t>
    </rPh>
    <rPh sb="65" eb="67">
      <t>イツヅ</t>
    </rPh>
    <rPh sb="70" eb="71">
      <t>オモ</t>
    </rPh>
    <rPh sb="75" eb="77">
      <t>ジッキ</t>
    </rPh>
    <rPh sb="80" eb="81">
      <t>ナニ</t>
    </rPh>
    <rPh sb="82" eb="83">
      <t>ミ</t>
    </rPh>
    <phoneticPr fontId="6"/>
  </si>
  <si>
    <t>アッパーケースを断熱する（カチオン自己発火防止）</t>
    <rPh sb="17" eb="21">
      <t>ジコハッカ</t>
    </rPh>
    <rPh sb="21" eb="23">
      <t>ボウシ</t>
    </rPh>
    <phoneticPr fontId="6"/>
  </si>
  <si>
    <t>熱拡散試験中、アッパーケースとアッパー断熱は温度をカチオン発火点以下でなければならない。</t>
    <rPh sb="0" eb="6">
      <t>ネツカクサンシケンチュウ</t>
    </rPh>
    <rPh sb="19" eb="21">
      <t>ダンネツ</t>
    </rPh>
    <rPh sb="22" eb="24">
      <t>オンド</t>
    </rPh>
    <phoneticPr fontId="6"/>
  </si>
  <si>
    <t>&lt;UPR断熱材&gt;
45PL以上の熱伝導率を確認</t>
    <rPh sb="13" eb="15">
      <t>イジョウ</t>
    </rPh>
    <rPh sb="16" eb="20">
      <t>ネツデンドウリツ</t>
    </rPh>
    <rPh sb="21" eb="23">
      <t>カクニン</t>
    </rPh>
    <phoneticPr fontId="6"/>
  </si>
  <si>
    <t>＜UPR断熱材＞
UPR断熱材裏面温度測定</t>
    <phoneticPr fontId="6"/>
  </si>
  <si>
    <t>熱伝導率測定</t>
    <rPh sb="0" eb="4">
      <t>ネツデンドウリツ</t>
    </rPh>
    <rPh sb="4" eb="6">
      <t>ソクテイ</t>
    </rPh>
    <phoneticPr fontId="6"/>
  </si>
  <si>
    <t>アッパーケースを断熱する</t>
    <phoneticPr fontId="6"/>
  </si>
  <si>
    <t>Assyではカバー開き量を見る。＝セルとカバーの距離の変化。
あとは、セル単品バラツキとアッパー断熱材の耐力を単品で。10末に向けて計画！</t>
    <rPh sb="9" eb="10">
      <t>ヒラ</t>
    </rPh>
    <rPh sb="11" eb="12">
      <t>リョウ</t>
    </rPh>
    <rPh sb="13" eb="14">
      <t>ミ</t>
    </rPh>
    <rPh sb="24" eb="26">
      <t>キョリ</t>
    </rPh>
    <rPh sb="27" eb="29">
      <t>ヘンカ</t>
    </rPh>
    <rPh sb="37" eb="39">
      <t>タンピン</t>
    </rPh>
    <rPh sb="48" eb="51">
      <t>ダンネツザイ</t>
    </rPh>
    <rPh sb="52" eb="54">
      <t>タイリョク</t>
    </rPh>
    <rPh sb="55" eb="57">
      <t>タンピン</t>
    </rPh>
    <rPh sb="61" eb="62">
      <t>マツ</t>
    </rPh>
    <rPh sb="63" eb="64">
      <t>ム</t>
    </rPh>
    <rPh sb="66" eb="68">
      <t>ケイカク</t>
    </rPh>
    <phoneticPr fontId="6"/>
  </si>
  <si>
    <t>高温金属片（ブラスト状発熱）に対するブラスト対策を講じる</t>
    <phoneticPr fontId="6"/>
  </si>
  <si>
    <t>熱拡散試験後、&lt;対象部品&gt;はブラストによる破損が生じてはならない。
熱拡散試験後、&lt;対象部品&gt;は絶縁抵抗を100MΩ以上に維持しなければならない</t>
    <rPh sb="0" eb="1">
      <t>ネツ</t>
    </rPh>
    <rPh sb="1" eb="3">
      <t>カクサン</t>
    </rPh>
    <rPh sb="3" eb="5">
      <t>シケン</t>
    </rPh>
    <rPh sb="5" eb="6">
      <t>ゴ</t>
    </rPh>
    <rPh sb="8" eb="10">
      <t>タイショウ</t>
    </rPh>
    <rPh sb="10" eb="12">
      <t>ブヒン</t>
    </rPh>
    <rPh sb="24" eb="25">
      <t>ショウ</t>
    </rPh>
    <rPh sb="34" eb="39">
      <t>ネツカクサンシケン</t>
    </rPh>
    <rPh sb="39" eb="40">
      <t>ゴ</t>
    </rPh>
    <rPh sb="42" eb="46">
      <t>タイショウブヒン</t>
    </rPh>
    <rPh sb="61" eb="63">
      <t>イジ</t>
    </rPh>
    <phoneticPr fontId="6"/>
  </si>
  <si>
    <t>未検討？
＜絶縁カバー、PN絶縁板＞
TaG試験にて1サイクル=マイカ同等の性能は確保済み、今後実試験とTaG試験のダメージコリレをとって行く予定。
&lt;アッパー断熱材&gt;
T&amp;G試験(※課題あり)にて45PL以上のサイクル数を確認
&lt;シール&gt;
未検討、高温金属片の飛散範囲が予測できない</t>
    <rPh sb="14" eb="16">
      <t>ゼツエン</t>
    </rPh>
    <rPh sb="16" eb="17">
      <t>イタ</t>
    </rPh>
    <rPh sb="22" eb="24">
      <t>シケン</t>
    </rPh>
    <rPh sb="35" eb="37">
      <t>ドウトウ</t>
    </rPh>
    <rPh sb="38" eb="40">
      <t>セイノウ</t>
    </rPh>
    <rPh sb="41" eb="43">
      <t>カクホ</t>
    </rPh>
    <rPh sb="43" eb="44">
      <t>ズ</t>
    </rPh>
    <rPh sb="46" eb="48">
      <t>コンゴ</t>
    </rPh>
    <rPh sb="48" eb="51">
      <t>ジツシケン</t>
    </rPh>
    <rPh sb="55" eb="57">
      <t>シケン</t>
    </rPh>
    <rPh sb="69" eb="70">
      <t>イ</t>
    </rPh>
    <rPh sb="71" eb="73">
      <t>ヨテイ</t>
    </rPh>
    <rPh sb="80" eb="83">
      <t>ダンネツザイ</t>
    </rPh>
    <rPh sb="121" eb="124">
      <t>ミケントウ</t>
    </rPh>
    <rPh sb="125" eb="127">
      <t>コウオン</t>
    </rPh>
    <rPh sb="127" eb="130">
      <t>キンゾクヘン</t>
    </rPh>
    <rPh sb="131" eb="133">
      <t>ヒサン</t>
    </rPh>
    <rPh sb="133" eb="135">
      <t>ハンイ</t>
    </rPh>
    <rPh sb="136" eb="138">
      <t>ヨソク</t>
    </rPh>
    <phoneticPr fontId="6"/>
  </si>
  <si>
    <t>＜シール＞
CTPパックまたは形状を造りこんだミニモ試験で、端セル熱暴走させれば、試験後の飛散範囲を確認できる</t>
    <rPh sb="15" eb="17">
      <t>ケイジョウ</t>
    </rPh>
    <rPh sb="18" eb="19">
      <t>ツク</t>
    </rPh>
    <rPh sb="26" eb="28">
      <t>シケン</t>
    </rPh>
    <rPh sb="30" eb="31">
      <t>ハシ</t>
    </rPh>
    <rPh sb="33" eb="36">
      <t>ネツボウソウ</t>
    </rPh>
    <rPh sb="41" eb="43">
      <t>シケン</t>
    </rPh>
    <rPh sb="43" eb="44">
      <t>ゴ</t>
    </rPh>
    <rPh sb="45" eb="47">
      <t>ヒサン</t>
    </rPh>
    <rPh sb="47" eb="49">
      <t>ハンイ</t>
    </rPh>
    <rPh sb="50" eb="52">
      <t>カクニン</t>
    </rPh>
    <phoneticPr fontId="6"/>
  </si>
  <si>
    <t>ガス流れはCAEで確認していく。
見積り手法未検討
シール部の見積もりが出来ていない。
発生確率が不明。</t>
    <rPh sb="2" eb="3">
      <t>ナガ</t>
    </rPh>
    <rPh sb="9" eb="11">
      <t>カクニン</t>
    </rPh>
    <rPh sb="18" eb="20">
      <t>ミツモ</t>
    </rPh>
    <rPh sb="21" eb="23">
      <t>シュホウ</t>
    </rPh>
    <rPh sb="23" eb="26">
      <t>ミケントウ</t>
    </rPh>
    <rPh sb="30" eb="31">
      <t>ブ</t>
    </rPh>
    <rPh sb="32" eb="34">
      <t>ミツ</t>
    </rPh>
    <rPh sb="37" eb="39">
      <t>デキ</t>
    </rPh>
    <rPh sb="45" eb="47">
      <t>ハッセイ</t>
    </rPh>
    <rPh sb="47" eb="49">
      <t>カクリツ</t>
    </rPh>
    <rPh sb="50" eb="52">
      <t>フメイ</t>
    </rPh>
    <phoneticPr fontId="6"/>
  </si>
  <si>
    <t>パック内への酸素流入によるガス発火を防止する（可逆性排煙バルブの設定）</t>
    <phoneticPr fontId="6"/>
  </si>
  <si>
    <t>熱拡散試験後、&lt;対象部品&gt;ではシールの破損が生じてはならない。
熱拡散試験中、排煙バルブは外部からパック内への酸素逆流を防止しなければならない
（解：可逆性排煙バルブ）</t>
    <rPh sb="0" eb="5">
      <t>ネツカクサンシケン</t>
    </rPh>
    <rPh sb="5" eb="6">
      <t>ゴ</t>
    </rPh>
    <rPh sb="8" eb="12">
      <t>タイショウブヒン</t>
    </rPh>
    <rPh sb="22" eb="23">
      <t>ショウ</t>
    </rPh>
    <rPh sb="32" eb="33">
      <t>ネツ</t>
    </rPh>
    <rPh sb="33" eb="35">
      <t>カクサン</t>
    </rPh>
    <rPh sb="35" eb="38">
      <t>シケンチュウ</t>
    </rPh>
    <rPh sb="39" eb="41">
      <t>ハイエン</t>
    </rPh>
    <rPh sb="45" eb="47">
      <t>ガイブ</t>
    </rPh>
    <rPh sb="52" eb="53">
      <t>ナイ</t>
    </rPh>
    <rPh sb="55" eb="57">
      <t>サンソ</t>
    </rPh>
    <rPh sb="57" eb="59">
      <t>ギャクリュウ</t>
    </rPh>
    <rPh sb="60" eb="62">
      <t>ボウシ</t>
    </rPh>
    <rPh sb="73" eb="74">
      <t>カイ</t>
    </rPh>
    <rPh sb="75" eb="78">
      <t>カギャクセイ</t>
    </rPh>
    <rPh sb="78" eb="80">
      <t>ハイエン</t>
    </rPh>
    <phoneticPr fontId="6"/>
  </si>
  <si>
    <t>未検討？
45PLの内圧と余剰空間の差から、内圧見積もりと圧力解放弁の開弁圧を比較。</t>
    <phoneticPr fontId="6"/>
  </si>
  <si>
    <t>”過圧を逃がす”の部分で見ればよい？</t>
    <rPh sb="1" eb="2">
      <t>カ</t>
    </rPh>
    <rPh sb="2" eb="3">
      <t>アツ</t>
    </rPh>
    <rPh sb="4" eb="5">
      <t>ニ</t>
    </rPh>
    <rPh sb="9" eb="11">
      <t>ブブン</t>
    </rPh>
    <rPh sb="12" eb="13">
      <t>ミ</t>
    </rPh>
    <phoneticPr fontId="6"/>
  </si>
  <si>
    <t>呼吸膜からの酸素流入を制御する</t>
    <phoneticPr fontId="6"/>
  </si>
  <si>
    <t>不要と判断</t>
    <rPh sb="0" eb="2">
      <t>フヨウ</t>
    </rPh>
    <rPh sb="3" eb="5">
      <t>ハンダン</t>
    </rPh>
    <phoneticPr fontId="6"/>
  </si>
  <si>
    <t>机上：図面DR
圧力解放弁と呼吸膜の搭載位置について、45PLと比較。</t>
    <phoneticPr fontId="6"/>
  </si>
  <si>
    <t>机上：図面DR
圧力解放弁と呼吸膜の搭載位置について、45PLと比較。</t>
    <rPh sb="0" eb="2">
      <t>キジョウ</t>
    </rPh>
    <rPh sb="3" eb="5">
      <t>ズメン</t>
    </rPh>
    <rPh sb="8" eb="13">
      <t>アツリョクカイホウベン</t>
    </rPh>
    <rPh sb="14" eb="17">
      <t>コキュウマク</t>
    </rPh>
    <rPh sb="18" eb="20">
      <t>トウサイ</t>
    </rPh>
    <rPh sb="20" eb="22">
      <t>イチ</t>
    </rPh>
    <rPh sb="32" eb="34">
      <t>ヒカク</t>
    </rPh>
    <phoneticPr fontId="6"/>
  </si>
  <si>
    <t>排煙弁と呼吸膜を同一方向に配置し、セルを跨がない搭載とする</t>
    <phoneticPr fontId="6"/>
  </si>
  <si>
    <t xml:space="preserve">排煙弁と呼吸膜を同一方向に配置する
</t>
    <phoneticPr fontId="6"/>
  </si>
  <si>
    <t>机上：図面DRによる要件を満たすことを確認</t>
    <rPh sb="0" eb="2">
      <t>キジョウ</t>
    </rPh>
    <rPh sb="10" eb="12">
      <t>ヨウケン</t>
    </rPh>
    <rPh sb="13" eb="14">
      <t>ミ</t>
    </rPh>
    <rPh sb="19" eb="21">
      <t>カクニン</t>
    </rPh>
    <phoneticPr fontId="6"/>
  </si>
  <si>
    <t>セル安全弁をラプチャ（破裂的開口）させず、安定した発煙状態を維持する</t>
    <phoneticPr fontId="6"/>
  </si>
  <si>
    <t>熱拡散試験中、セルは安全弁以外に開口を生じてはならない。
熱拡散試験中、セルからの排煙は安全弁からのみ行わなければならない。</t>
    <rPh sb="0" eb="5">
      <t>ネツカクサンシケン</t>
    </rPh>
    <rPh sb="5" eb="6">
      <t>チュウ</t>
    </rPh>
    <rPh sb="10" eb="13">
      <t>アンゼンベン</t>
    </rPh>
    <rPh sb="13" eb="15">
      <t>イガイ</t>
    </rPh>
    <rPh sb="16" eb="18">
      <t>カイコウ</t>
    </rPh>
    <rPh sb="19" eb="20">
      <t>ショウ</t>
    </rPh>
    <rPh sb="29" eb="35">
      <t>ネツカクサンシケンチュウ</t>
    </rPh>
    <rPh sb="41" eb="43">
      <t>ハイエン</t>
    </rPh>
    <rPh sb="44" eb="47">
      <t>アンゼンベン</t>
    </rPh>
    <rPh sb="51" eb="52">
      <t>オコナ</t>
    </rPh>
    <phoneticPr fontId="6"/>
  </si>
  <si>
    <t>単品要素試験：
Li6.Bの結果より、ラプチャ無しを確認</t>
    <rPh sb="0" eb="4">
      <t>タンピンヨウソ</t>
    </rPh>
    <rPh sb="4" eb="6">
      <t>シケン</t>
    </rPh>
    <rPh sb="14" eb="16">
      <t>ケッカ</t>
    </rPh>
    <rPh sb="23" eb="24">
      <t>ナ</t>
    </rPh>
    <rPh sb="26" eb="28">
      <t>カクニン</t>
    </rPh>
    <phoneticPr fontId="6"/>
  </si>
  <si>
    <t>これは、、、セル屋さんに言いたいけど。。
サイドラプチャや底面側から開裂して熱伝導材を剥がす現象も実際にある！
どういう条件だとそれが起きるか？？？今回の評価と切り分けて、考える！
あと、今回のCtoP底側面を構造用接着剤で固めるので初期の開裂は防げることを期待！</t>
    <rPh sb="8" eb="9">
      <t>ヤ</t>
    </rPh>
    <rPh sb="12" eb="13">
      <t>イ</t>
    </rPh>
    <rPh sb="29" eb="32">
      <t>テイメンガワ</t>
    </rPh>
    <rPh sb="34" eb="36">
      <t>カイレツ</t>
    </rPh>
    <rPh sb="38" eb="42">
      <t>ネツデンドウザイ</t>
    </rPh>
    <rPh sb="43" eb="44">
      <t>ハ</t>
    </rPh>
    <rPh sb="46" eb="48">
      <t>ゲンショウ</t>
    </rPh>
    <rPh sb="49" eb="51">
      <t>ジッサイ</t>
    </rPh>
    <rPh sb="60" eb="62">
      <t>ジョウケン</t>
    </rPh>
    <rPh sb="74" eb="76">
      <t>コンカイ</t>
    </rPh>
    <rPh sb="77" eb="79">
      <t>ヒョウカ</t>
    </rPh>
    <rPh sb="80" eb="81">
      <t>キ</t>
    </rPh>
    <rPh sb="82" eb="83">
      <t>ワ</t>
    </rPh>
    <rPh sb="86" eb="87">
      <t>カンガ</t>
    </rPh>
    <rPh sb="94" eb="96">
      <t>コンカイ</t>
    </rPh>
    <rPh sb="101" eb="102">
      <t>ソコ</t>
    </rPh>
    <rPh sb="102" eb="104">
      <t>ソクメン</t>
    </rPh>
    <rPh sb="105" eb="111">
      <t>コウゾウヨウセッチャクザイ</t>
    </rPh>
    <rPh sb="112" eb="113">
      <t>カタ</t>
    </rPh>
    <rPh sb="117" eb="119">
      <t>ショキ</t>
    </rPh>
    <rPh sb="120" eb="122">
      <t>カイレツ</t>
    </rPh>
    <rPh sb="123" eb="124">
      <t>フセ</t>
    </rPh>
    <rPh sb="129" eb="131">
      <t>キタイ</t>
    </rPh>
    <phoneticPr fontId="6"/>
  </si>
  <si>
    <t>セル内電極温度上昇を抑制して熱暴走させないこと</t>
    <rPh sb="7" eb="9">
      <t>ジョウショウ</t>
    </rPh>
    <rPh sb="10" eb="12">
      <t>ヨクセイ</t>
    </rPh>
    <rPh sb="14" eb="17">
      <t>ネツボウソウ</t>
    </rPh>
    <phoneticPr fontId="6"/>
  </si>
  <si>
    <t>熱拡散試験中、&lt;対象部品&gt;では隣接セル内電極温度を150℃以下に維持しなければならない。</t>
    <rPh sb="0" eb="6">
      <t>ネツカクサンシケンチュウ</t>
    </rPh>
    <rPh sb="8" eb="12">
      <t>タイショウブヒン</t>
    </rPh>
    <rPh sb="15" eb="17">
      <t>リンセツ</t>
    </rPh>
    <rPh sb="19" eb="20">
      <t>ナイ</t>
    </rPh>
    <rPh sb="20" eb="24">
      <t>デンキョクオンド</t>
    </rPh>
    <rPh sb="29" eb="31">
      <t>イカ</t>
    </rPh>
    <rPh sb="32" eb="34">
      <t>イジ</t>
    </rPh>
    <phoneticPr fontId="6"/>
  </si>
  <si>
    <t>BVP素性効率向上検討会 次世代BEV/PHEV電池パック開発 期初計画 ’26/6/3
スライドP30より</t>
    <phoneticPr fontId="6"/>
  </si>
  <si>
    <t>CAE：GT-SUITEで温度推定。</t>
    <phoneticPr fontId="6"/>
  </si>
  <si>
    <t>隣接セルが熱暴走に至る温度を設定する</t>
    <rPh sb="0" eb="2">
      <t>リンセツ</t>
    </rPh>
    <rPh sb="5" eb="8">
      <t>ネツボウソウ</t>
    </rPh>
    <rPh sb="9" eb="10">
      <t>イタ</t>
    </rPh>
    <rPh sb="11" eb="13">
      <t>オンド</t>
    </rPh>
    <rPh sb="14" eb="16">
      <t>セッテイ</t>
    </rPh>
    <phoneticPr fontId="6"/>
  </si>
  <si>
    <t>解析モデル上の発熱開始条件（製品全体の一般的な温度目標値ではない）／出典スライド30</t>
  </si>
  <si>
    <t>250321_プロ検_年度まとめ.pptx / 260317_内山田相談役報告_次世代電池パック開発（普及版）.pptx / 260528_素性効率向上検討会_BVPx次世代コンセプト_期初計画.pptx</t>
  </si>
  <si>
    <t>セル間断熱材、下面冷却はMtoP同等。RF直付けによる熱移動が変化点となるが、良くなる方向と想像。計算してみて！</t>
    <rPh sb="2" eb="6">
      <t>カンダンネツザイ</t>
    </rPh>
    <rPh sb="7" eb="11">
      <t>カメンレイキャク</t>
    </rPh>
    <rPh sb="16" eb="18">
      <t>ドウトウ</t>
    </rPh>
    <rPh sb="21" eb="23">
      <t>チョクツ</t>
    </rPh>
    <rPh sb="27" eb="30">
      <t>ネツイドウ</t>
    </rPh>
    <rPh sb="31" eb="34">
      <t>ヘンカテン</t>
    </rPh>
    <rPh sb="39" eb="40">
      <t>ヨ</t>
    </rPh>
    <rPh sb="43" eb="45">
      <t>ホウコウ</t>
    </rPh>
    <rPh sb="46" eb="48">
      <t>ソウゾウ</t>
    </rPh>
    <rPh sb="49" eb="51">
      <t>ケイサン</t>
    </rPh>
    <phoneticPr fontId="6"/>
  </si>
  <si>
    <t>1セルのみ開弁し、隣接セルが開弁しないこと。</t>
    <phoneticPr fontId="6"/>
  </si>
  <si>
    <t>熱拡散試験中、&lt;対象部品&gt;は隣接セルの腹両面の左右温度の平均温度が150℃以下に維持しなければならない。
（測定開始温度、部品ばらつきを考慮すること）</t>
    <rPh sb="0" eb="1">
      <t>ネツ</t>
    </rPh>
    <rPh sb="1" eb="3">
      <t>カクサン</t>
    </rPh>
    <rPh sb="3" eb="6">
      <t>シケンチュウ</t>
    </rPh>
    <rPh sb="8" eb="10">
      <t>タイショウ</t>
    </rPh>
    <rPh sb="10" eb="12">
      <t>ブヒン</t>
    </rPh>
    <rPh sb="14" eb="16">
      <t>リンセツ</t>
    </rPh>
    <rPh sb="19" eb="20">
      <t>ハラ</t>
    </rPh>
    <rPh sb="20" eb="22">
      <t>リョウメン</t>
    </rPh>
    <rPh sb="23" eb="25">
      <t>サユウ</t>
    </rPh>
    <rPh sb="25" eb="27">
      <t>オンド</t>
    </rPh>
    <rPh sb="28" eb="30">
      <t>ヘイキン</t>
    </rPh>
    <rPh sb="30" eb="32">
      <t>オンド</t>
    </rPh>
    <rPh sb="36" eb="39">
      <t>ドイカ</t>
    </rPh>
    <rPh sb="40" eb="42">
      <t>イジ</t>
    </rPh>
    <rPh sb="54" eb="56">
      <t>ソクテイ</t>
    </rPh>
    <rPh sb="56" eb="58">
      <t>カイシ</t>
    </rPh>
    <rPh sb="58" eb="60">
      <t>オンド</t>
    </rPh>
    <rPh sb="61" eb="63">
      <t>ブヒン</t>
    </rPh>
    <rPh sb="68" eb="70">
      <t>コウリョ</t>
    </rPh>
    <phoneticPr fontId="6"/>
  </si>
  <si>
    <t>&lt;セル間断熱材&gt;
CAE：GT-SUITEで温度推定。
断熱材4.55mmで45PL同等○○○℃見積もり。150℃以下を確認。</t>
    <rPh sb="3" eb="4">
      <t>カン</t>
    </rPh>
    <rPh sb="4" eb="7">
      <t>ダンネツザイ</t>
    </rPh>
    <rPh sb="28" eb="31">
      <t>ダンネツザイ</t>
    </rPh>
    <rPh sb="42" eb="44">
      <t>ドウトウ</t>
    </rPh>
    <rPh sb="48" eb="50">
      <t>ミツ</t>
    </rPh>
    <rPh sb="57" eb="59">
      <t>イカ</t>
    </rPh>
    <rPh sb="60" eb="62">
      <t>カクニン</t>
    </rPh>
    <phoneticPr fontId="6"/>
  </si>
  <si>
    <t>1セルのみ開弁し、隣接セルが開弁しないこと。</t>
  </si>
  <si>
    <t>出典スライド31（解析結果 水準2-③）</t>
  </si>
  <si>
    <t>260528_素性効率向上検討会_BVPx次世代コンセプト_期初計画.pdf
熱拡散機能主査DR_チェックポイント(見本).pptx</t>
    <phoneticPr fontId="6"/>
  </si>
  <si>
    <t>隣接150度以下狙いのハズ！</t>
    <rPh sb="0" eb="2">
      <t>リンセツ</t>
    </rPh>
    <rPh sb="5" eb="6">
      <t>ド</t>
    </rPh>
    <rPh sb="6" eb="8">
      <t>イカ</t>
    </rPh>
    <rPh sb="8" eb="9">
      <t>ネラ</t>
    </rPh>
    <phoneticPr fontId="6"/>
  </si>
  <si>
    <t>電池パックからの排煙が車両影響ない位置に設定すること</t>
    <rPh sb="0" eb="2">
      <t>デンチ</t>
    </rPh>
    <rPh sb="8" eb="10">
      <t>ハイエン</t>
    </rPh>
    <rPh sb="11" eb="13">
      <t>シャリョウ</t>
    </rPh>
    <rPh sb="13" eb="15">
      <t>エイキョウ</t>
    </rPh>
    <rPh sb="17" eb="19">
      <t>イチ</t>
    </rPh>
    <rPh sb="20" eb="22">
      <t>セッテイ</t>
    </rPh>
    <phoneticPr fontId="6"/>
  </si>
  <si>
    <t>熱暴走発生時、排煙ガスはボディシール耐熱温度以下であること</t>
    <rPh sb="0" eb="3">
      <t>ネツボウソウ</t>
    </rPh>
    <rPh sb="3" eb="5">
      <t>ハッセイ</t>
    </rPh>
    <rPh sb="5" eb="6">
      <t>ジ</t>
    </rPh>
    <rPh sb="7" eb="9">
      <t>ハイエン</t>
    </rPh>
    <rPh sb="18" eb="20">
      <t>タイネツ</t>
    </rPh>
    <rPh sb="20" eb="22">
      <t>オンド</t>
    </rPh>
    <rPh sb="22" eb="24">
      <t>イカ</t>
    </rPh>
    <phoneticPr fontId="6"/>
  </si>
  <si>
    <t>車両シール部への客室内への影響を考慮</t>
    <rPh sb="0" eb="2">
      <t>シャリョウ</t>
    </rPh>
    <rPh sb="5" eb="6">
      <t>ブ</t>
    </rPh>
    <rPh sb="8" eb="10">
      <t>キャクシツ</t>
    </rPh>
    <rPh sb="10" eb="11">
      <t>ナイ</t>
    </rPh>
    <rPh sb="13" eb="15">
      <t>エイキョウ</t>
    </rPh>
    <rPh sb="16" eb="18">
      <t>コウリョ</t>
    </rPh>
    <phoneticPr fontId="6"/>
  </si>
  <si>
    <t>車両企画未決のため、今回対象外？</t>
    <rPh sb="0" eb="2">
      <t>シャリョウ</t>
    </rPh>
    <rPh sb="2" eb="4">
      <t>キカク</t>
    </rPh>
    <rPh sb="4" eb="6">
      <t>ミケツ</t>
    </rPh>
    <rPh sb="10" eb="12">
      <t>コンカイ</t>
    </rPh>
    <rPh sb="12" eb="15">
      <t>タイショウガイ</t>
    </rPh>
    <phoneticPr fontId="6"/>
  </si>
  <si>
    <t>車両企画未決のため、対象外。</t>
    <rPh sb="0" eb="2">
      <t>シャリョウ</t>
    </rPh>
    <rPh sb="2" eb="4">
      <t>キカク</t>
    </rPh>
    <rPh sb="4" eb="6">
      <t>ミケツ</t>
    </rPh>
    <rPh sb="10" eb="13">
      <t>タイショウガイ</t>
    </rPh>
    <phoneticPr fontId="6"/>
  </si>
  <si>
    <t>別議論。</t>
    <rPh sb="0" eb="3">
      <t>ベツギロン</t>
    </rPh>
    <phoneticPr fontId="6"/>
  </si>
  <si>
    <t>パックシール部温度・圧力を抑制し、シールが溶損しないこと</t>
    <rPh sb="6" eb="7">
      <t>ブ</t>
    </rPh>
    <rPh sb="10" eb="12">
      <t>アツリョク</t>
    </rPh>
    <rPh sb="21" eb="23">
      <t>ヨウソン</t>
    </rPh>
    <phoneticPr fontId="6"/>
  </si>
  <si>
    <t>熱暴走発生時、&lt;対象部品&gt;はシール部温度を溶損温度未満に維持しなければならない。
熱暴走発生時、&lt;対象部品&gt;はシール部圧力を溶損・破損圧力未満に維持しなければならない。</t>
    <rPh sb="8" eb="12">
      <t>タイショウブヒン</t>
    </rPh>
    <rPh sb="41" eb="44">
      <t>ネツボウソウ</t>
    </rPh>
    <rPh sb="44" eb="47">
      <t>ハッセイジ</t>
    </rPh>
    <rPh sb="49" eb="53">
      <t>タイショウブヒン</t>
    </rPh>
    <rPh sb="58" eb="59">
      <t>ブ</t>
    </rPh>
    <rPh sb="59" eb="61">
      <t>アツリョク</t>
    </rPh>
    <rPh sb="62" eb="64">
      <t>ヨウソン</t>
    </rPh>
    <rPh sb="65" eb="67">
      <t>ハソン</t>
    </rPh>
    <rPh sb="67" eb="69">
      <t>アツリョク</t>
    </rPh>
    <rPh sb="69" eb="71">
      <t>ミマン</t>
    </rPh>
    <rPh sb="72" eb="74">
      <t>イジ</t>
    </rPh>
    <phoneticPr fontId="6"/>
  </si>
  <si>
    <t>シール破損によるパック外への発煙、発火を防止するため</t>
    <rPh sb="2" eb="4">
      <t>ハソン</t>
    </rPh>
    <rPh sb="10" eb="11">
      <t>ガイ</t>
    </rPh>
    <rPh sb="13" eb="15">
      <t>ハツエン</t>
    </rPh>
    <rPh sb="16" eb="18">
      <t>ハッカ</t>
    </rPh>
    <rPh sb="19" eb="21">
      <t>ボウシ</t>
    </rPh>
    <phoneticPr fontId="6"/>
  </si>
  <si>
    <t>未検討？</t>
    <rPh sb="0" eb="3">
      <t>ミケントウ</t>
    </rPh>
    <phoneticPr fontId="6"/>
  </si>
  <si>
    <t>机上
45PLからの変化点より見積もり</t>
    <rPh sb="0" eb="2">
      <t>キジョウ</t>
    </rPh>
    <rPh sb="10" eb="13">
      <t>ヘンカテン</t>
    </rPh>
    <rPh sb="15" eb="17">
      <t>ミツ</t>
    </rPh>
    <phoneticPr fontId="6"/>
  </si>
  <si>
    <t xml:space="preserve"> 260528_素性効率向上検討会_BVPx次世代コンセプト_期初計画.pptx</t>
    <phoneticPr fontId="6"/>
  </si>
  <si>
    <t>”合わせ面からの漏煙・・・”の部分で見ればよい？</t>
    <rPh sb="1" eb="2">
      <t>ア</t>
    </rPh>
    <rPh sb="4" eb="5">
      <t>メン</t>
    </rPh>
    <rPh sb="8" eb="9">
      <t>モ</t>
    </rPh>
    <rPh sb="9" eb="10">
      <t>ケムリ</t>
    </rPh>
    <rPh sb="15" eb="17">
      <t>ブブン</t>
    </rPh>
    <rPh sb="18" eb="19">
      <t>ミ</t>
    </rPh>
    <phoneticPr fontId="6"/>
  </si>
  <si>
    <t>トリガーガス温度を抑制すること</t>
    <phoneticPr fontId="6"/>
  </si>
  <si>
    <t>BATs-038に統合
熱拡散機能主査DR チェックポイント集より</t>
    <rPh sb="9" eb="11">
      <t>トウゴウ</t>
    </rPh>
    <rPh sb="30" eb="31">
      <t>シュウ</t>
    </rPh>
    <phoneticPr fontId="6"/>
  </si>
  <si>
    <t>熱拡散機能主査DR_チェックポイント(熱拡散機能主査DR_チェックポイント(見本).pptx見本).pptx</t>
    <phoneticPr fontId="6"/>
  </si>
  <si>
    <t>これって、ヒーター議論の事？別枠で。。。</t>
    <rPh sb="9" eb="11">
      <t>ギロン</t>
    </rPh>
    <rPh sb="12" eb="13">
      <t>コト</t>
    </rPh>
    <rPh sb="14" eb="16">
      <t>ベツワク</t>
    </rPh>
    <phoneticPr fontId="6"/>
  </si>
  <si>
    <t>排煙口と点火源が十分に離れた配置とすること（排煙口と点火源の距離、方向、存在位置）</t>
    <rPh sb="33" eb="35">
      <t>ホウコウ</t>
    </rPh>
    <rPh sb="36" eb="38">
      <t>ソンザイ</t>
    </rPh>
    <rPh sb="38" eb="40">
      <t>イチ</t>
    </rPh>
    <phoneticPr fontId="6"/>
  </si>
  <si>
    <t>&lt;対象部品&gt;は排煙口と点火源との最短距離を45PL以上確保しなければならない。
Any positionでブラスト角度±35度内に排煙バルブを設定しないこと。</t>
    <rPh sb="57" eb="59">
      <t>カクド</t>
    </rPh>
    <rPh sb="62" eb="63">
      <t>ド</t>
    </rPh>
    <rPh sb="63" eb="64">
      <t>ナイ</t>
    </rPh>
    <rPh sb="65" eb="67">
      <t>ハイエン</t>
    </rPh>
    <rPh sb="71" eb="73">
      <t>セッテイ</t>
    </rPh>
    <phoneticPr fontId="6"/>
  </si>
  <si>
    <t>排煙ガス着火（引火） ＞ 排煙ガスと点火源が接触 ＞ 排煙ガスが点火源に近づく ＞ 排煙口と点火源が近い</t>
    <phoneticPr fontId="6"/>
  </si>
  <si>
    <t>未検討？
圧力解放弁の位置はセルから45PL同等以上離れている？</t>
    <rPh sb="0" eb="3">
      <t>ミケントウ</t>
    </rPh>
    <rPh sb="5" eb="10">
      <t>アツリョクカイホウベン</t>
    </rPh>
    <rPh sb="11" eb="13">
      <t>イチ</t>
    </rPh>
    <rPh sb="22" eb="24">
      <t>ドウトウ</t>
    </rPh>
    <rPh sb="24" eb="26">
      <t>イジョウ</t>
    </rPh>
    <rPh sb="26" eb="27">
      <t>ハナ</t>
    </rPh>
    <phoneticPr fontId="6"/>
  </si>
  <si>
    <t>排煙口と点火源が十分に離れた配置とすること（排煙口と点火源の距離を確保する）</t>
  </si>
  <si>
    <t>電池パック発火FTA　V2</t>
    <rPh sb="0" eb="2">
      <t>デンチ</t>
    </rPh>
    <rPh sb="5" eb="7">
      <t>ハッカ</t>
    </rPh>
    <phoneticPr fontId="6"/>
  </si>
  <si>
    <t>？？　エニーポジションで発煙する前提だと排煙口設置位置は限定される。MtoPと比べて不利になるようなら、考える。</t>
    <rPh sb="12" eb="14">
      <t>ハツエン</t>
    </rPh>
    <rPh sb="16" eb="18">
      <t>ゼンテイ</t>
    </rPh>
    <rPh sb="20" eb="22">
      <t>ハイエン</t>
    </rPh>
    <rPh sb="22" eb="23">
      <t>クチ</t>
    </rPh>
    <rPh sb="23" eb="25">
      <t>セッチ</t>
    </rPh>
    <rPh sb="25" eb="27">
      <t>イチ</t>
    </rPh>
    <rPh sb="28" eb="30">
      <t>ゲンテイ</t>
    </rPh>
    <rPh sb="39" eb="40">
      <t>クラ</t>
    </rPh>
    <rPh sb="42" eb="44">
      <t>フリ</t>
    </rPh>
    <rPh sb="52" eb="53">
      <t>カンガ</t>
    </rPh>
    <phoneticPr fontId="6"/>
  </si>
  <si>
    <t>排煙流速を過大にしない排煙経路設計とすること（点火源への到達を抑制する流速に制御する）</t>
  </si>
  <si>
    <t>BATs-019に統合
排煙ガス着火（引火） ＞ 排煙ガスと点火源が接触 ＞ 排煙ガスが点火源に近づく ＞ 排煙流速が早い</t>
    <phoneticPr fontId="6"/>
  </si>
  <si>
    <t>MtoPと差がないことの確認</t>
    <rPh sb="5" eb="6">
      <t>サ</t>
    </rPh>
    <rPh sb="12" eb="14">
      <t>カクニン</t>
    </rPh>
    <phoneticPr fontId="6"/>
  </si>
  <si>
    <t>点火源となり得る範囲を最小化する構造とすること（点火源の存在範囲を限定する）</t>
  </si>
  <si>
    <t>BATs-019に統合
排煙ガス着火（引火） ＞ 排煙ガスと点火源が接触 ＞ 排煙ガスが点火源に近づく ＞ 点火源の範囲が広い</t>
    <rPh sb="9" eb="11">
      <t>トウゴウ</t>
    </rPh>
    <phoneticPr fontId="6"/>
  </si>
  <si>
    <t>排煙方向に点火源が存在しないレイアウトとすること（排煙方向と点火源配置を分離する）</t>
    <phoneticPr fontId="6"/>
  </si>
  <si>
    <t>BATs-019に統合
排煙ガス着火（引火） ＞ 排煙ガスと点火源が接触 ＞ 排煙ガスが点火源に近づく ＞ 排煙方向に点火源が存在</t>
    <phoneticPr fontId="6"/>
  </si>
  <si>
    <t>排煙方向に点火源が存在しないレイアウトとすること（排煙方向と点火源配置を分離する）</t>
  </si>
  <si>
    <t>UPR×LWR・コネクタブロックのシール強度を十分に確保すること（シール破綻を防止する強度を持たせる）</t>
    <phoneticPr fontId="6"/>
  </si>
  <si>
    <t>熱暴走発生時、&lt;対象部品&gt;のシールストレングスは発煙時の加圧により発生するシール線荷重を上回らなければならない</t>
    <rPh sb="0" eb="6">
      <t>ネツボウソウハッセイジ</t>
    </rPh>
    <rPh sb="8" eb="12">
      <t>タイショウブヒン</t>
    </rPh>
    <rPh sb="24" eb="26">
      <t>ハツエン</t>
    </rPh>
    <rPh sb="26" eb="27">
      <t>ジ</t>
    </rPh>
    <rPh sb="28" eb="30">
      <t>カアツ</t>
    </rPh>
    <rPh sb="33" eb="35">
      <t>ハッセイ</t>
    </rPh>
    <rPh sb="40" eb="41">
      <t>セン</t>
    </rPh>
    <rPh sb="41" eb="43">
      <t>カジュウ</t>
    </rPh>
    <rPh sb="44" eb="46">
      <t>ウワマワ</t>
    </rPh>
    <phoneticPr fontId="6"/>
  </si>
  <si>
    <t>排煙ガス着火（引火） ＞ 排煙ガスと点火源が接触 ＞ 排煙ガス近くで点火源が発生（パック内） ＞ パック内に酸素が流入 ＞ シール材破綻（UPR×LWR、コネクタブロック） ＞ シール強度不足</t>
    <phoneticPr fontId="6"/>
  </si>
  <si>
    <t>BATs-001と同じ</t>
    <rPh sb="9" eb="10">
      <t>オナ</t>
    </rPh>
    <phoneticPr fontId="6"/>
  </si>
  <si>
    <t>UPR×LWR・コネクタブロックのシール強度を十分に確保すること（シール破綻を防止する強度を持たせる）</t>
  </si>
  <si>
    <t>セルブラストの発生・波及を抑制する構造とすること（セルブラストによる点火源発生を抑える）</t>
    <phoneticPr fontId="6"/>
  </si>
  <si>
    <t>熱暴走発生時、セルから発生するガス圧力、噴出範囲は[Li6.B]同等以下でなければならない。
（セル単品排煙試験データ）</t>
    <rPh sb="0" eb="6">
      <t>ネツボウソウハッセイジ</t>
    </rPh>
    <rPh sb="11" eb="13">
      <t>ハッセイ</t>
    </rPh>
    <rPh sb="17" eb="19">
      <t>アツリョク</t>
    </rPh>
    <rPh sb="20" eb="22">
      <t>フンシュツ</t>
    </rPh>
    <rPh sb="22" eb="24">
      <t>ハンイ</t>
    </rPh>
    <rPh sb="32" eb="34">
      <t>ドウトウ</t>
    </rPh>
    <rPh sb="34" eb="36">
      <t>イカ</t>
    </rPh>
    <rPh sb="50" eb="52">
      <t>タンピン</t>
    </rPh>
    <rPh sb="52" eb="54">
      <t>ハイエン</t>
    </rPh>
    <rPh sb="54" eb="56">
      <t>シケン</t>
    </rPh>
    <phoneticPr fontId="6"/>
  </si>
  <si>
    <t>排煙ガス着火（引火） ＞ 排煙ガスと点火源が接触 ＞ 排煙ガス近くで点火源が発生（パック内） ＞ セルブラスト</t>
    <phoneticPr fontId="6"/>
  </si>
  <si>
    <t>セルブラストの発生・波及を抑制する構造とすること（セルブラストによる点火源発生を抑える）</t>
  </si>
  <si>
    <t>セルブラストの発生を抑制するって何？？？
波及を抑制するは、絶縁カバー設計でいいのかな？</t>
    <rPh sb="7" eb="9">
      <t>ハッセイ</t>
    </rPh>
    <rPh sb="10" eb="12">
      <t>ヨクセイ</t>
    </rPh>
    <rPh sb="16" eb="17">
      <t>ナニ</t>
    </rPh>
    <rPh sb="21" eb="23">
      <t>ハキュウ</t>
    </rPh>
    <rPh sb="24" eb="26">
      <t>ヨクセイ</t>
    </rPh>
    <rPh sb="30" eb="32">
      <t>ゼツエン</t>
    </rPh>
    <rPh sb="35" eb="37">
      <t>セッケイ</t>
    </rPh>
    <phoneticPr fontId="6"/>
  </si>
  <si>
    <t>シール部が想定内圧上昇に耐える耐圧性能を有すること（内圧上昇によるシール破綻を防ぐ）</t>
  </si>
  <si>
    <t>排煙ガス着火（引火） ＞ 排煙ガスと点火源が接触 ＞ 排煙ガス近くで点火源が発生（パック内） ＞ パック内に酸素が流入 ＞ シール材破綻（UPR×LWR、コネクタブロック） ＞ 内圧上昇</t>
  </si>
  <si>
    <t>＜シール＞
シール単体評価でストレングス測定</t>
    <rPh sb="9" eb="11">
      <t>タンタイ</t>
    </rPh>
    <rPh sb="11" eb="13">
      <t>ヒョウカ</t>
    </rPh>
    <rPh sb="20" eb="22">
      <t>ソクテイ</t>
    </rPh>
    <phoneticPr fontId="6"/>
  </si>
  <si>
    <t>＜シール＞
パック内圧測定</t>
    <rPh sb="9" eb="11">
      <t>ナイアツ</t>
    </rPh>
    <rPh sb="11" eb="13">
      <t>ソクテイ</t>
    </rPh>
    <phoneticPr fontId="6"/>
  </si>
  <si>
    <t>シール材が想定温度に耐える耐熱性能を有すること（溶損によるシール破綻を防ぐ）</t>
  </si>
  <si>
    <t>シール耐熱温度は、熱暴走中にシールに接するガス温度以上であること</t>
    <rPh sb="3" eb="5">
      <t>タイネツ</t>
    </rPh>
    <rPh sb="5" eb="7">
      <t>オンド</t>
    </rPh>
    <rPh sb="9" eb="12">
      <t>ネツボウソウ</t>
    </rPh>
    <rPh sb="12" eb="13">
      <t>チュウ</t>
    </rPh>
    <rPh sb="18" eb="19">
      <t>セッ</t>
    </rPh>
    <rPh sb="23" eb="25">
      <t>オンド</t>
    </rPh>
    <rPh sb="25" eb="27">
      <t>イジョウ</t>
    </rPh>
    <phoneticPr fontId="6"/>
  </si>
  <si>
    <t>排煙ガス着火（引火） ＞ 排煙ガスと点火源が接触 ＞ 排煙ガス近くで点火源が発生（パック内） ＞ パック内に酸素が流入 ＞ シール材破綻（UPR×LWR、コネクタブロック） ＞ シール耐熱不足(溶損)</t>
  </si>
  <si>
    <t>＜シール＞
シール部温度測定</t>
    <rPh sb="9" eb="10">
      <t>ブ</t>
    </rPh>
    <rPh sb="10" eb="12">
      <t>オンド</t>
    </rPh>
    <rPh sb="12" eb="14">
      <t>ソクテイ</t>
    </rPh>
    <phoneticPr fontId="6"/>
  </si>
  <si>
    <t>シール部近傍の温度上昇を抑制すること（シール耐熱を超える温度上昇を防ぐ）</t>
  </si>
  <si>
    <t>BATs-026NGであれば要件として定義するため、一旦なし</t>
    <rPh sb="14" eb="16">
      <t>ヨウケン</t>
    </rPh>
    <rPh sb="19" eb="21">
      <t>テイギ</t>
    </rPh>
    <rPh sb="26" eb="28">
      <t>イッタン</t>
    </rPh>
    <phoneticPr fontId="6"/>
  </si>
  <si>
    <t>排煙ガス着火（引火） ＞ 排煙ガスと点火源が接触 ＞ 排煙ガス近くで点火源が発生（パック内） ＞ パック内に酸素が流入 ＞ シール材破綻（UPR×LWR、コネクタブロック） ＞ 温度上昇</t>
  </si>
  <si>
    <t>ケース近傍の温度上昇を抑制すること（ケース穴開きに至る温度上昇を防ぐ）</t>
    <phoneticPr fontId="6"/>
  </si>
  <si>
    <t>噴出物蓄積による短絡経路形成で短絡しない構造とすること</t>
    <rPh sb="0" eb="3">
      <t>フンシュツブツ</t>
    </rPh>
    <rPh sb="3" eb="5">
      <t>チクセキ</t>
    </rPh>
    <rPh sb="8" eb="10">
      <t>タンラク</t>
    </rPh>
    <rPh sb="10" eb="12">
      <t>ケイロ</t>
    </rPh>
    <rPh sb="12" eb="14">
      <t>ケイセイ</t>
    </rPh>
    <rPh sb="15" eb="17">
      <t>タンラク</t>
    </rPh>
    <rPh sb="20" eb="22">
      <t>コウゾウ</t>
    </rPh>
    <phoneticPr fontId="6"/>
  </si>
  <si>
    <t>排煙ガス着火（引火） ＞ 排煙ガスと点火源が接触 ＞ 排煙ガス近くで点火源が発生（パック内） ＞ 短絡発生 ＞ ケース穴開き ＞ 温度上昇</t>
  </si>
  <si>
    <t>ケース近傍の温度上昇を抑制すること（ケース穴開きに至る温度上昇を防ぐ）</t>
  </si>
  <si>
    <t>CtoP構造の変化あり。端セルで発煙した場合は、ケース温度変わるだろうね。。。
CtoP構造での端セル発煙時の温度を推定、MtoPと比較、シール絶対強度（データあり）と比較！</t>
    <rPh sb="4" eb="6">
      <t>コウゾウ</t>
    </rPh>
    <rPh sb="7" eb="9">
      <t>ヘンカ</t>
    </rPh>
    <rPh sb="12" eb="13">
      <t>ハシ</t>
    </rPh>
    <rPh sb="16" eb="18">
      <t>ハツエン</t>
    </rPh>
    <rPh sb="20" eb="22">
      <t>バアイ</t>
    </rPh>
    <rPh sb="27" eb="30">
      <t>オンドカ</t>
    </rPh>
    <rPh sb="44" eb="46">
      <t>コウゾウ</t>
    </rPh>
    <rPh sb="48" eb="49">
      <t>ハシ</t>
    </rPh>
    <rPh sb="51" eb="54">
      <t>ハツエンジ</t>
    </rPh>
    <rPh sb="55" eb="57">
      <t>オンド</t>
    </rPh>
    <rPh sb="58" eb="60">
      <t>スイテイ</t>
    </rPh>
    <rPh sb="66" eb="68">
      <t>ヒカク</t>
    </rPh>
    <rPh sb="72" eb="76">
      <t>ゼッタイキョウド</t>
    </rPh>
    <rPh sb="84" eb="86">
      <t>ヒカク</t>
    </rPh>
    <phoneticPr fontId="6"/>
  </si>
  <si>
    <t>短絡発生を防止する絶縁・保護構造を有すること（短絡によるケース穴開きを防ぐ）</t>
    <phoneticPr fontId="6"/>
  </si>
  <si>
    <t>熱拡散試験後、&lt;対象部品&gt;は絶縁抵抗を100MΩ以上に維持しなければならない
熱暴走発生時、&lt;対象部品&gt;はセル間、MODバスバ、BBMコネクタ、セルの直上において短絡を生じさせてはならない。</t>
    <rPh sb="0" eb="1">
      <t>ネツ</t>
    </rPh>
    <rPh sb="1" eb="3">
      <t>カクサン</t>
    </rPh>
    <rPh sb="3" eb="5">
      <t>シケン</t>
    </rPh>
    <rPh sb="5" eb="6">
      <t>ゴ</t>
    </rPh>
    <rPh sb="8" eb="10">
      <t>タイショウ</t>
    </rPh>
    <rPh sb="10" eb="12">
      <t>ブヒン</t>
    </rPh>
    <rPh sb="14" eb="16">
      <t>ゼツエン</t>
    </rPh>
    <rPh sb="16" eb="18">
      <t>テイコウ</t>
    </rPh>
    <rPh sb="24" eb="26">
      <t>イジョウ</t>
    </rPh>
    <rPh sb="27" eb="29">
      <t>イジ</t>
    </rPh>
    <rPh sb="39" eb="45">
      <t>ネツボウソウハッセイジ</t>
    </rPh>
    <rPh sb="47" eb="51">
      <t>タイショウブヒン</t>
    </rPh>
    <rPh sb="55" eb="56">
      <t>カン</t>
    </rPh>
    <rPh sb="75" eb="77">
      <t>チョクジョウ</t>
    </rPh>
    <rPh sb="81" eb="83">
      <t>タンラク</t>
    </rPh>
    <rPh sb="84" eb="85">
      <t>ショウ</t>
    </rPh>
    <phoneticPr fontId="6"/>
  </si>
  <si>
    <t>排煙ガス着火（引火） ＞ 排煙ガスと点火源が接触 ＞ 排煙ガス近くで点火源が発生（パック内） ＞ 短絡発生 ＞ ケース穴開き ＞ 短絡</t>
    <phoneticPr fontId="6"/>
  </si>
  <si>
    <t>＜絶縁カバー＞
活電部カバー済み、ただし、MOD間バスバと絶縁カバーのラップ量がﾂﾗｲﾁ設定のため評価にて確認したい</t>
    <rPh sb="4" eb="6">
      <t>ジョウメン</t>
    </rPh>
    <rPh sb="6" eb="7">
      <t>シ</t>
    </rPh>
    <rPh sb="8" eb="11">
      <t>カツデンブ</t>
    </rPh>
    <rPh sb="14" eb="15">
      <t>ズ</t>
    </rPh>
    <rPh sb="24" eb="25">
      <t>カン</t>
    </rPh>
    <rPh sb="29" eb="31">
      <t>ゼツエン</t>
    </rPh>
    <rPh sb="38" eb="39">
      <t>リョウ</t>
    </rPh>
    <rPh sb="44" eb="46">
      <t>セッテイ</t>
    </rPh>
    <rPh sb="49" eb="51">
      <t>ヒョウカ</t>
    </rPh>
    <rPh sb="53" eb="55">
      <t>カクニン</t>
    </rPh>
    <phoneticPr fontId="6"/>
  </si>
  <si>
    <t>＜絶縁カバー＞
噴出物の挙動、圧力による変形で活電部が露出しないか</t>
    <rPh sb="1" eb="3">
      <t>ゼツエン</t>
    </rPh>
    <rPh sb="8" eb="10">
      <t>フンシュツ</t>
    </rPh>
    <rPh sb="10" eb="11">
      <t>ブツ</t>
    </rPh>
    <rPh sb="12" eb="14">
      <t>キョドウ</t>
    </rPh>
    <rPh sb="15" eb="17">
      <t>アツリョク</t>
    </rPh>
    <rPh sb="20" eb="22">
      <t>ヘンケイ</t>
    </rPh>
    <rPh sb="23" eb="25">
      <t>カツデン</t>
    </rPh>
    <rPh sb="25" eb="26">
      <t>ブ</t>
    </rPh>
    <rPh sb="27" eb="29">
      <t>ロシュツ</t>
    </rPh>
    <phoneticPr fontId="6"/>
  </si>
  <si>
    <t>総電圧：560 V
漏れ電流：5.6 μA
発熱量：3.14 mW　
100MΩであれば発熱量は無視できるレベルと判断</t>
    <rPh sb="44" eb="47">
      <t>ハツネツリョウ</t>
    </rPh>
    <rPh sb="48" eb="50">
      <t>ムシ</t>
    </rPh>
    <rPh sb="57" eb="59">
      <t>ハンダン</t>
    </rPh>
    <phoneticPr fontId="6"/>
  </si>
  <si>
    <t>短絡発生を防止する絶縁・保護構造を有すること（短絡によるケース穴開きを防ぐ）</t>
  </si>
  <si>
    <t>”アッパーケース断熱・・・”の部分で見ればよい？</t>
    <rPh sb="8" eb="10">
      <t>ダンネツ</t>
    </rPh>
    <rPh sb="15" eb="17">
      <t>ブブン</t>
    </rPh>
    <rPh sb="18" eb="19">
      <t>ミ</t>
    </rPh>
    <phoneticPr fontId="6"/>
  </si>
  <si>
    <t>ケースが想定温度に耐える耐熱性能を有すること（耐熱不足によるケース穴開きを防ぐ）</t>
  </si>
  <si>
    <t>熱暴走発生時、アッパーケースは噴出ガス、噴出物の温度により穴あき、発火なきこと</t>
    <rPh sb="15" eb="17">
      <t>フンシュツ</t>
    </rPh>
    <rPh sb="20" eb="22">
      <t>フンシュツ</t>
    </rPh>
    <rPh sb="22" eb="23">
      <t>ブツ</t>
    </rPh>
    <rPh sb="24" eb="26">
      <t>オンド</t>
    </rPh>
    <rPh sb="29" eb="30">
      <t>アナ</t>
    </rPh>
    <rPh sb="33" eb="35">
      <t>ハッカ</t>
    </rPh>
    <phoneticPr fontId="6"/>
  </si>
  <si>
    <t>排煙ガス着火（引火） ＞ 排煙ガスと点火源が接触 ＞ 排煙ガス近くで点火源が発生（パック内） ＞ 短絡発生 ＞ ケース穴開き ＞ ケース耐熱不足</t>
  </si>
  <si>
    <t>ケース内圧の上昇を抑制すること（内圧上昇によるケース穴開きを防ぐ）</t>
  </si>
  <si>
    <t>熱暴走発生時、排煙バルブはシール部耐圧力、アッパーケース、ロアケース
耐圧力以下でバルブ解放させること</t>
    <rPh sb="7" eb="9">
      <t>ハイエン</t>
    </rPh>
    <rPh sb="16" eb="17">
      <t>ブ</t>
    </rPh>
    <rPh sb="17" eb="19">
      <t>タイアツ</t>
    </rPh>
    <rPh sb="19" eb="20">
      <t>リョク</t>
    </rPh>
    <rPh sb="35" eb="38">
      <t>タイアツリョク</t>
    </rPh>
    <rPh sb="38" eb="40">
      <t>イカ</t>
    </rPh>
    <rPh sb="44" eb="46">
      <t>カイホウ</t>
    </rPh>
    <phoneticPr fontId="6"/>
  </si>
  <si>
    <t>排煙ガス着火（引火） ＞ 排煙ガスと点火源が接触 ＞ 排煙ガス近くで点火源が発生（パック内） ＞ 短絡発生 ＞ ケース穴開き ＞ 内圧上昇</t>
  </si>
  <si>
    <t>ケースが想定荷重・内圧に耐える強度を有すること（強度不足によるケース穴開きを防ぐ）</t>
  </si>
  <si>
    <t>熱暴走発生時、アッパーケース・ロアケースはセルガス圧力により破損、穴あき無き事</t>
    <rPh sb="25" eb="27">
      <t>アツリョク</t>
    </rPh>
    <rPh sb="30" eb="32">
      <t>ハソン</t>
    </rPh>
    <rPh sb="33" eb="34">
      <t>アナ</t>
    </rPh>
    <rPh sb="36" eb="37">
      <t>ナ</t>
    </rPh>
    <rPh sb="38" eb="39">
      <t>コト</t>
    </rPh>
    <phoneticPr fontId="6"/>
  </si>
  <si>
    <t>排煙ガス着火（引火） ＞ 排煙ガスと点火源が接触 ＞ 排煙ガス近くで点火源が発生（パック内） ＞ 短絡発生 ＞ ケース穴開き ＞ ケース強度不足</t>
  </si>
  <si>
    <t>流石にこれはないでしょう。。。</t>
    <rPh sb="0" eb="2">
      <t>サスガ</t>
    </rPh>
    <phoneticPr fontId="6"/>
  </si>
  <si>
    <t>排煙バルブが想定内圧に耐える耐圧性能を有すること（耐圧不足によるバルブ破損を防ぐ）</t>
  </si>
  <si>
    <t>熱暴走発生時、排煙バルブは規定圧力以上で開放することができること</t>
    <rPh sb="13" eb="15">
      <t>キテイ</t>
    </rPh>
    <rPh sb="15" eb="17">
      <t>アツリョク</t>
    </rPh>
    <rPh sb="17" eb="19">
      <t>イジョウ</t>
    </rPh>
    <rPh sb="20" eb="22">
      <t>カイホウ</t>
    </rPh>
    <phoneticPr fontId="6"/>
  </si>
  <si>
    <t>排煙ガス着火（引火） ＞ 排煙ガスと点火源が接触 ＞ 排煙ガス近くで点火源が発生（パック内） ＞ 短絡発生 ＞ 排煙バルブ破損 ＞ バルブ耐圧不足</t>
  </si>
  <si>
    <t>MtoPと差がない</t>
    <rPh sb="5" eb="6">
      <t>サ</t>
    </rPh>
    <phoneticPr fontId="6"/>
  </si>
  <si>
    <t>排煙バルブ部の内圧上昇を抑制すること（内圧上昇によるバルブ破損を防ぐ）</t>
  </si>
  <si>
    <t>排煙ガス着火（引火） ＞ 排煙ガスと点火源が接触 ＞ 排煙ガス近くで点火源が発生（パック内） ＞ 短絡発生 ＞ 排煙バルブ破損 ＞ 内圧上昇</t>
  </si>
  <si>
    <t>排煙バルブ部の温度上昇を抑制すること（温度上昇によるバルブ破損を防ぐ）</t>
  </si>
  <si>
    <t>熱暴走発生時、排煙バルブの位置はセルガス温度に耐える位置に設定すること</t>
    <rPh sb="7" eb="9">
      <t>ハイエン</t>
    </rPh>
    <rPh sb="13" eb="15">
      <t>イチ</t>
    </rPh>
    <rPh sb="20" eb="22">
      <t>オンド</t>
    </rPh>
    <rPh sb="23" eb="24">
      <t>タ</t>
    </rPh>
    <rPh sb="26" eb="28">
      <t>イチ</t>
    </rPh>
    <rPh sb="29" eb="31">
      <t>セッテイ</t>
    </rPh>
    <phoneticPr fontId="6"/>
  </si>
  <si>
    <t>排煙ガス着火（引火） ＞ 排煙ガスと点火源が接触 ＞ 排煙ガス近くで点火源が発生（パック内） ＞ 短絡発生 ＞ 排煙バルブ破損 ＞ 温度上昇</t>
  </si>
  <si>
    <t>排煙バルブが想定温度に耐える耐熱性能を有すること（耐熱不足によるバルブ破損を防ぐ）</t>
  </si>
  <si>
    <t>熱暴走発生時、排煙バルブの排熱可能温度は排煙ガス温度より高いこと</t>
    <rPh sb="7" eb="9">
      <t>ハイエン</t>
    </rPh>
    <rPh sb="13" eb="15">
      <t>ハイネツ</t>
    </rPh>
    <rPh sb="15" eb="17">
      <t>カノウ</t>
    </rPh>
    <rPh sb="17" eb="19">
      <t>オンド</t>
    </rPh>
    <rPh sb="20" eb="22">
      <t>ハイエン</t>
    </rPh>
    <rPh sb="24" eb="26">
      <t>オンド</t>
    </rPh>
    <rPh sb="28" eb="29">
      <t>タカ</t>
    </rPh>
    <phoneticPr fontId="6"/>
  </si>
  <si>
    <t>排煙ガス着火（引火） ＞ 排煙ガスと点火源が接触 ＞ 排煙ガス近くで点火源が発生（パック内） ＞ 短絡発生 ＞ 排煙バルブ破損 ＞ バルブ耐熱不足</t>
  </si>
  <si>
    <t>呼吸膜が想定温度・圧力で溶損しない耐性を有すること（呼吸膜溶損を防ぐ）</t>
    <phoneticPr fontId="6"/>
  </si>
  <si>
    <t>熱暴走発生時、呼吸膜の耐熱・耐圧はガス温度・圧力以上であること</t>
    <rPh sb="7" eb="9">
      <t>コキュウ</t>
    </rPh>
    <rPh sb="9" eb="10">
      <t>マク</t>
    </rPh>
    <rPh sb="11" eb="13">
      <t>タイネツ</t>
    </rPh>
    <rPh sb="14" eb="16">
      <t>タイアツ</t>
    </rPh>
    <rPh sb="19" eb="21">
      <t>オンド</t>
    </rPh>
    <rPh sb="22" eb="24">
      <t>アツリョク</t>
    </rPh>
    <rPh sb="24" eb="26">
      <t>イジョウ</t>
    </rPh>
    <phoneticPr fontId="6"/>
  </si>
  <si>
    <t>排煙ガス着火（引火） ＞ 排煙ガスと点火源が接触 ＞ 排煙ガス近くで点火源が発生（パック内） ＞ 短絡発生 ＞ 呼吸膜溶損</t>
  </si>
  <si>
    <t>呼吸膜が想定温度・圧力で溶損しない耐性を有すること（呼吸膜溶損を防ぐ）</t>
  </si>
  <si>
    <t>発煙時の排煙ガス高温化を抑制する(単セル容量を過大にしない設計とすること)</t>
    <phoneticPr fontId="6"/>
  </si>
  <si>
    <t>熱暴走発生時、セルのガス温度はLi6.B同等以下とすること</t>
    <rPh sb="12" eb="14">
      <t>オンド</t>
    </rPh>
    <rPh sb="20" eb="22">
      <t>ドウトウ</t>
    </rPh>
    <rPh sb="22" eb="24">
      <t>イカ</t>
    </rPh>
    <phoneticPr fontId="6"/>
  </si>
  <si>
    <t>排煙ガス着火（引火） ＞ 排煙ガスと点火源が接触 ＞ 排煙ガス近くで点火源が発生（パック外） ＞ ケース塗装の自己着火（金属ケース） ＞ パック外温度が高温（ストレス大） ＞ 排煙ガスが高温 ＞ 単セル容量大</t>
    <phoneticPr fontId="6"/>
  </si>
  <si>
    <t>単セル容量を過大にしない設計とすること（発煙時の排煙ガス高温化を抑制する）</t>
  </si>
  <si>
    <t>主な考え方のMtoP、CtoPでの挙動差分確認。
2個1、3個１としたときの守り方を別ラインで検討要。
やること決めて10末答えを出したい！</t>
    <rPh sb="0" eb="1">
      <t>オモ</t>
    </rPh>
    <rPh sb="2" eb="3">
      <t>カンガ</t>
    </rPh>
    <rPh sb="4" eb="5">
      <t>カタ</t>
    </rPh>
    <rPh sb="17" eb="19">
      <t>キョドウ</t>
    </rPh>
    <rPh sb="19" eb="21">
      <t>サブン</t>
    </rPh>
    <rPh sb="21" eb="23">
      <t>カクニン</t>
    </rPh>
    <rPh sb="26" eb="27">
      <t>コ</t>
    </rPh>
    <rPh sb="30" eb="31">
      <t>コ</t>
    </rPh>
    <rPh sb="38" eb="39">
      <t>マモ</t>
    </rPh>
    <rPh sb="40" eb="41">
      <t>カタ</t>
    </rPh>
    <rPh sb="42" eb="43">
      <t>ベツ</t>
    </rPh>
    <rPh sb="47" eb="49">
      <t>ケントウ</t>
    </rPh>
    <rPh sb="49" eb="50">
      <t>ヨウ</t>
    </rPh>
    <rPh sb="56" eb="57">
      <t>キ</t>
    </rPh>
    <rPh sb="61" eb="62">
      <t>マツ</t>
    </rPh>
    <rPh sb="62" eb="63">
      <t>コタ</t>
    </rPh>
    <rPh sb="65" eb="66">
      <t>ダ</t>
    </rPh>
    <phoneticPr fontId="6"/>
  </si>
  <si>
    <t>セル間・スタック間の断熱を十分に確保すること（連鎖発煙を防ぐ断熱性能を持たせる）</t>
  </si>
  <si>
    <t>BATs-015</t>
  </si>
  <si>
    <t>排煙ガス着火（引火） ＞ 排煙ガスと点火源が接触 ＞ 排煙ガス近くで点火源が発生（パック外） ＞ ケース塗装の自己着火（金属ケース） ＞ パック外温度が高温（ストレス大） ＞ 熱源となる部品が近い ＞ 複数セルの連鎖発煙 ＞ セル間、スタック間断熱不足</t>
  </si>
  <si>
    <t>噴出物堆積による熱パス形成を防止する構造とすること（噴出物の堆積・熱伝達を抑制する）</t>
    <phoneticPr fontId="6"/>
  </si>
  <si>
    <t>排煙ガス着火（引火） ＞ 排煙ガスと点火源が接触 ＞ 排煙ガス近くで点火源が発生（パック外） ＞ ケース塗装の自己着火（金属ケース） ＞ パック外温度が高温（ストレス大） ＞ 熱源となる部品が近い ＞ 複数セルの連鎖発煙 ＞ 噴出物堆積による熱パス形成</t>
    <phoneticPr fontId="6"/>
  </si>
  <si>
    <t>噴出物堆積による熱パス形成を防止する構造とすること（噴出物の堆積・熱伝達を抑制する）</t>
  </si>
  <si>
    <t>”デブリ・溶融金属によるブリッジ（短絡）を防止する”の部分で見ればよい？</t>
    <rPh sb="27" eb="29">
      <t>ブブン</t>
    </rPh>
    <rPh sb="30" eb="31">
      <t>ミ</t>
    </rPh>
    <phoneticPr fontId="6"/>
  </si>
  <si>
    <t>排煙空間を十分に確保すること（排煙空間狭小による噴出物の局所堆積を防ぐ）</t>
    <phoneticPr fontId="6"/>
  </si>
  <si>
    <t>単セル発煙時、セルからの噴出物量がLi6.B同等であれば一般部ノミナルは6.8mmとする。</t>
    <rPh sb="0" eb="1">
      <t>タン</t>
    </rPh>
    <rPh sb="3" eb="5">
      <t>ハツエン</t>
    </rPh>
    <rPh sb="5" eb="6">
      <t>ジ</t>
    </rPh>
    <rPh sb="22" eb="24">
      <t>ドウトウ</t>
    </rPh>
    <rPh sb="28" eb="31">
      <t>イッパンブ</t>
    </rPh>
    <phoneticPr fontId="6"/>
  </si>
  <si>
    <t>排煙ガス着火（引火） ＞ 排煙ガスと点火源が接触 ＞ 排煙ガス近くで点火源が発生（パック外） ＞ ケース塗装の自己着火（金属ケース） ＞ パック内温度が高温（ストレス大） ＞ 噴出物が局所的に堆積 ＞ 排煙空間小</t>
    <phoneticPr fontId="6"/>
  </si>
  <si>
    <t>排煙空間を十分に確保すること（排煙空間狭小による噴出物の局所堆積を防ぐ）</t>
  </si>
  <si>
    <t>セル間短絡の発生を防止する絶縁・保護構造を有すること（セル間短絡を防ぐ）</t>
  </si>
  <si>
    <t>BATs-005</t>
    <phoneticPr fontId="6"/>
  </si>
  <si>
    <t>排煙ガス着火（引火） ＞ 排煙ガスと点火源が接触 ＞ 排煙ガス近くで点火源が発生（パック外） ＞ ケース塗装の自己着火（金属ケース） ＞ パック外温度が高温（ストレス大） ＞ 熱源となる部品が近い ＞ 複数セルの連鎖発煙 ＞ 噴出物堆積による短絡発生 ＞ セル間短絡の発生</t>
  </si>
  <si>
    <t>＜絶縁カバー＞
上面視はカバーしており、セルとの隙間は最小。予測できていない。ミニモ試験にて絶縁カバー裏面のガス温度、挙動を把握できていない。解析未実施。</t>
    <rPh sb="4" eb="6">
      <t>ジョウメン</t>
    </rPh>
    <rPh sb="6" eb="7">
      <t>シ</t>
    </rPh>
    <rPh sb="8" eb="10">
      <t>ジョウメン</t>
    </rPh>
    <rPh sb="10" eb="11">
      <t>シ</t>
    </rPh>
    <rPh sb="24" eb="26">
      <t>スキマ</t>
    </rPh>
    <rPh sb="27" eb="29">
      <t>サイショウ</t>
    </rPh>
    <rPh sb="30" eb="32">
      <t>ヨソク</t>
    </rPh>
    <rPh sb="42" eb="44">
      <t>シケン</t>
    </rPh>
    <rPh sb="46" eb="48">
      <t>ゼツエン</t>
    </rPh>
    <rPh sb="51" eb="53">
      <t>ウラメン</t>
    </rPh>
    <rPh sb="56" eb="58">
      <t>オンド</t>
    </rPh>
    <rPh sb="59" eb="61">
      <t>キョドウ</t>
    </rPh>
    <rPh sb="62" eb="64">
      <t>ハアク</t>
    </rPh>
    <rPh sb="71" eb="73">
      <t>カイセキ</t>
    </rPh>
    <rPh sb="73" eb="76">
      <t>ミジッシ</t>
    </rPh>
    <phoneticPr fontId="6"/>
  </si>
  <si>
    <t xml:space="preserve">＜絶縁カバー＞
セル・カバー間のガス温度、噴出物侵入有無。今後の解析に必要なパラメータがわかっていない。
</t>
    <rPh sb="1" eb="3">
      <t>ゼツエン</t>
    </rPh>
    <rPh sb="14" eb="15">
      <t>カン</t>
    </rPh>
    <rPh sb="18" eb="20">
      <t>オンド</t>
    </rPh>
    <rPh sb="21" eb="24">
      <t>フンシュツブツ</t>
    </rPh>
    <rPh sb="24" eb="26">
      <t>シンニュウ</t>
    </rPh>
    <rPh sb="26" eb="28">
      <t>ウム</t>
    </rPh>
    <rPh sb="29" eb="31">
      <t>コンゴ</t>
    </rPh>
    <rPh sb="32" eb="34">
      <t>カイセキ</t>
    </rPh>
    <rPh sb="35" eb="37">
      <t>ヒツヨウ</t>
    </rPh>
    <phoneticPr fontId="6"/>
  </si>
  <si>
    <t>BATs-005</t>
  </si>
  <si>
    <t>単セルからの噴出量を抑制する設計とすること（噴出量過大による堆積を防ぐ）</t>
  </si>
  <si>
    <t>熱暴走発生時、セルの噴出量はLi６.B同等以下とすること</t>
    <rPh sb="10" eb="12">
      <t>フンシュツ</t>
    </rPh>
    <rPh sb="12" eb="13">
      <t>リョウ</t>
    </rPh>
    <rPh sb="19" eb="21">
      <t>ドウトウ</t>
    </rPh>
    <rPh sb="21" eb="23">
      <t>イカ</t>
    </rPh>
    <phoneticPr fontId="6"/>
  </si>
  <si>
    <t>排煙ガス着火（引火） ＞ 排煙ガスと点火源が接触 ＞ 排煙ガス近くで点火源が発生（パック外） ＞ ケース塗装の自己着火（金属ケース） ＞ パック内温度が高温（ストレス大） ＞ 短絡（ジュール熱）が発生 ＞ 噴出物量が多い ＞ 単セルからの噴出量が多い</t>
  </si>
  <si>
    <t>是非！そうしたい！どうすればよいか、セル単体評価で別ラインで答えだして！10月まで！</t>
    <rPh sb="0" eb="2">
      <t>ゼヒ</t>
    </rPh>
    <rPh sb="20" eb="24">
      <t>タンタイヒョウカ</t>
    </rPh>
    <rPh sb="25" eb="26">
      <t>ベツ</t>
    </rPh>
    <rPh sb="30" eb="31">
      <t>コタ</t>
    </rPh>
    <rPh sb="38" eb="39">
      <t>ガツ</t>
    </rPh>
    <phoneticPr fontId="6"/>
  </si>
  <si>
    <t>モジュール間短絡の発生を防止する絶縁・保護構造を有すること（モジュール間短絡を防ぐ）</t>
    <phoneticPr fontId="6"/>
  </si>
  <si>
    <t xml:space="preserve">熱拡散試験後、&lt;対象部品&gt;は絶縁抵抗を100MΩ以上に維持しなければならない
熱暴走発生時、&lt;対象部品&gt;は噴出物蓄積、活電部溶融によるMOD間の下記リークパスを形成してはならない。
・MOD間セルの直接リークパス
・アッパーケース、ロアケース、MOD間バスバ周辺部材からのリークパス
</t>
    <rPh sb="40" eb="46">
      <t>ネツボウソウハッセイジ</t>
    </rPh>
    <rPh sb="48" eb="52">
      <t>タイショウブヒン</t>
    </rPh>
    <rPh sb="81" eb="83">
      <t>ケイセイ</t>
    </rPh>
    <phoneticPr fontId="6"/>
  </si>
  <si>
    <t>排煙ガス着火（引火） ＞ 排煙ガスと点火源が接触 ＞ 排煙ガス近くで点火源が発生（パック外） ＞ ケース塗装の自己着火（金属ケース） ＞ パック外温度が高温（ストレス大） ＞ 熱源となる部品が近い ＞ 複数セルの連鎖発煙 ＞ 熱伝導材剥がれによる冷却効率低下 ＞ モジュール間短絡の発生</t>
    <phoneticPr fontId="6"/>
  </si>
  <si>
    <t>＜絶縁カバー＞
上面視はカバーしており、バスバとの隙間は最小。予測できていない。ミニモ試験にて絶縁カバー裏面のガス温度、挙動を把握できていない。解析未実施。</t>
    <rPh sb="4" eb="6">
      <t>ジョウメン</t>
    </rPh>
    <rPh sb="6" eb="7">
      <t>シ</t>
    </rPh>
    <rPh sb="8" eb="10">
      <t>ジョウメン</t>
    </rPh>
    <rPh sb="10" eb="11">
      <t>シ</t>
    </rPh>
    <rPh sb="25" eb="27">
      <t>スキマ</t>
    </rPh>
    <rPh sb="28" eb="30">
      <t>サイショウ</t>
    </rPh>
    <rPh sb="31" eb="33">
      <t>ヨソク</t>
    </rPh>
    <rPh sb="43" eb="45">
      <t>シケン</t>
    </rPh>
    <rPh sb="47" eb="49">
      <t>ゼツエン</t>
    </rPh>
    <rPh sb="52" eb="54">
      <t>ウラメン</t>
    </rPh>
    <rPh sb="57" eb="59">
      <t>オンド</t>
    </rPh>
    <rPh sb="60" eb="62">
      <t>キョドウ</t>
    </rPh>
    <rPh sb="63" eb="65">
      <t>ハアク</t>
    </rPh>
    <rPh sb="72" eb="74">
      <t>カイセキ</t>
    </rPh>
    <rPh sb="74" eb="77">
      <t>ミジッシ</t>
    </rPh>
    <phoneticPr fontId="6"/>
  </si>
  <si>
    <t xml:space="preserve">＜絶縁カバー＞
ガス温度、噴出物侵入有無。今後の解析に必要なパラメータがわかっていない。
</t>
    <rPh sb="1" eb="3">
      <t>ゼツエン</t>
    </rPh>
    <rPh sb="10" eb="12">
      <t>オンド</t>
    </rPh>
    <rPh sb="13" eb="16">
      <t>フンシュツブツ</t>
    </rPh>
    <rPh sb="16" eb="18">
      <t>シンニュウ</t>
    </rPh>
    <rPh sb="18" eb="20">
      <t>ウム</t>
    </rPh>
    <rPh sb="21" eb="23">
      <t>コンゴ</t>
    </rPh>
    <rPh sb="24" eb="26">
      <t>カイセキ</t>
    </rPh>
    <rPh sb="27" eb="29">
      <t>ヒツヨウ</t>
    </rPh>
    <phoneticPr fontId="6"/>
  </si>
  <si>
    <t>必要絶縁性能とリークパス経路形成防止を基本とする</t>
    <rPh sb="0" eb="4">
      <t>ヒツヨウゼツエン</t>
    </rPh>
    <rPh sb="4" eb="6">
      <t>セイノウ</t>
    </rPh>
    <rPh sb="12" eb="14">
      <t>ケイロ</t>
    </rPh>
    <rPh sb="14" eb="16">
      <t>ケイセイ</t>
    </rPh>
    <rPh sb="16" eb="18">
      <t>ボウシ</t>
    </rPh>
    <rPh sb="19" eb="21">
      <t>キホン</t>
    </rPh>
    <phoneticPr fontId="6"/>
  </si>
  <si>
    <t>モジュール間短絡の発生を防止する絶縁・保護構造を有すること（モジュール間短絡を防ぐ）</t>
  </si>
  <si>
    <t>普通にできているのでは？</t>
    <rPh sb="0" eb="2">
      <t>フツウ</t>
    </rPh>
    <phoneticPr fontId="6"/>
  </si>
  <si>
    <t>排煙ガス量を抑制する設計とすること（パック内圧力上昇・排煙ガス量過大を防ぐ）</t>
    <phoneticPr fontId="6"/>
  </si>
  <si>
    <t>排煙ガス着火（引火） ＞ 排煙ガスと点火源が接触 ＞ 排煙ガス近くで点火源が発生（パック外） ＞ ケース塗装の自己着火（金属ケース） ＞ パック内温度が高温（ストレス大） ＞ 短絡（ジュール熱）が発生 ＞ 噴出物量が多い ＞ 複数セルの連鎖発煙（※同上） ＞ パック内圧力大 ＞ 排煙ガス量大</t>
  </si>
  <si>
    <t>排煙ガス量を抑制する設計とすること（パック内圧力上昇・排煙ガス量過大を防ぐ）</t>
  </si>
  <si>
    <t>従来設計通り。MtoPと差がないことの確認。</t>
    <rPh sb="0" eb="5">
      <t>ジュウライセッケイドオ</t>
    </rPh>
    <rPh sb="12" eb="13">
      <t>サ</t>
    </rPh>
    <rPh sb="19" eb="21">
      <t>カクニン</t>
    </rPh>
    <phoneticPr fontId="6"/>
  </si>
  <si>
    <t>ケースの断熱性能を十分に確保すること（ケース断熱不足によるパック外温度上昇を防ぐ）</t>
  </si>
  <si>
    <t>熱暴走発生時、アッパーケースはボディ周辺部品の発煙発火温度以下となる断熱性能を有すること</t>
    <rPh sb="18" eb="20">
      <t>シュウヘン</t>
    </rPh>
    <rPh sb="20" eb="22">
      <t>ブヒン</t>
    </rPh>
    <rPh sb="23" eb="25">
      <t>ハツエン</t>
    </rPh>
    <rPh sb="25" eb="27">
      <t>ハッカ</t>
    </rPh>
    <rPh sb="27" eb="29">
      <t>オンド</t>
    </rPh>
    <rPh sb="29" eb="31">
      <t>イカ</t>
    </rPh>
    <rPh sb="34" eb="36">
      <t>ダンネツ</t>
    </rPh>
    <rPh sb="36" eb="38">
      <t>セイノウ</t>
    </rPh>
    <rPh sb="39" eb="40">
      <t>ユウ</t>
    </rPh>
    <phoneticPr fontId="6"/>
  </si>
  <si>
    <t>排煙ガス着火（引火） ＞ 排煙ガスと点火源が接触 ＞ 排煙ガス近くで点火源が発生（パック外） ＞ ケース塗装の自己着火（金属ケース） ＞ ケース断熱不足（ストレングス小）</t>
  </si>
  <si>
    <t>断熱材の熱伝導率を十分に低くすること（熱抵抗不足による温度上昇を防ぐ）</t>
  </si>
  <si>
    <t>排煙ガス着火（引火） ＞ 排煙ガスと点火源が接触 ＞ 排煙ガス近くで点火源が発生（パック外） ＞ ケース塗装の自己着火（金属ケース） ＞ パック内温度が高温（ストレス大） ＞ ケース断熱不足（ストレングス小） ＞ 断熱構造の熱抵抗不足 ＞ 断熱材の熱伝導率が高い</t>
  </si>
  <si>
    <t>排煙空間（余剰体積）を十分に確保すること（余剰体積不足による圧力上昇を防ぐ）</t>
  </si>
  <si>
    <t>BATs-041
45PLからのセル変化点からアッパーとの隙を**mm、**に設定する
セル決定して、単セル試験が無いと見積もれない</t>
    <rPh sb="18" eb="20">
      <t>ヘンカ</t>
    </rPh>
    <rPh sb="20" eb="21">
      <t>テン</t>
    </rPh>
    <rPh sb="29" eb="30">
      <t>スキ</t>
    </rPh>
    <rPh sb="39" eb="41">
      <t>セッテイ</t>
    </rPh>
    <rPh sb="46" eb="48">
      <t>ケッテイ</t>
    </rPh>
    <rPh sb="51" eb="52">
      <t>タン</t>
    </rPh>
    <rPh sb="54" eb="56">
      <t>シケン</t>
    </rPh>
    <rPh sb="57" eb="58">
      <t>ナ</t>
    </rPh>
    <rPh sb="60" eb="62">
      <t>ミツ</t>
    </rPh>
    <phoneticPr fontId="6"/>
  </si>
  <si>
    <t>排煙ガス着火（引火） ＞ 排煙ガスと点火源が接触 ＞ 排煙ガス近くで点火源が発生（パック外） ＞ ケース塗装の自己着火（金属ケース） ＞ パック内温度が高温（ストレス大） ＞ ケース断熱不足（ストレングス小） ＞ 断熱構造の熱抵抗不足 ＞ 断熱材の熱伝導率が高い ＞ 排煙空間（余剰体積）小</t>
  </si>
  <si>
    <t>＜絶縁カバー＞
45PLより空間隙は大きいが必要隙合意できておらず、未検討</t>
    <rPh sb="4" eb="6">
      <t>ジョウメン</t>
    </rPh>
    <rPh sb="6" eb="7">
      <t>シ</t>
    </rPh>
    <rPh sb="14" eb="16">
      <t>クウカン</t>
    </rPh>
    <rPh sb="16" eb="17">
      <t>スキ</t>
    </rPh>
    <rPh sb="18" eb="19">
      <t>オオ</t>
    </rPh>
    <rPh sb="22" eb="24">
      <t>ヒツヨウ</t>
    </rPh>
    <rPh sb="24" eb="25">
      <t>スキ</t>
    </rPh>
    <rPh sb="25" eb="27">
      <t>ゴウイ</t>
    </rPh>
    <rPh sb="34" eb="37">
      <t>ミケントウ</t>
    </rPh>
    <phoneticPr fontId="6"/>
  </si>
  <si>
    <t>排煙経路の距離を十分に確保すること（経路短小による放熱不足を防ぐ）</t>
  </si>
  <si>
    <t>単セル熱暴走発生時、アッパーと絶縁カバー間の排煙経路隙はノミナル6.8mm以上とすること
熱暴走発生時、発煙セルと排煙バルブとの距離は排煙温度（他部品への発火・発煙がない温度）により決定すること</t>
    <rPh sb="0" eb="1">
      <t>タン</t>
    </rPh>
    <rPh sb="15" eb="17">
      <t>ゼツエン</t>
    </rPh>
    <rPh sb="20" eb="21">
      <t>カン</t>
    </rPh>
    <rPh sb="22" eb="24">
      <t>ハイエン</t>
    </rPh>
    <rPh sb="24" eb="26">
      <t>ケイロ</t>
    </rPh>
    <rPh sb="26" eb="27">
      <t>スキ</t>
    </rPh>
    <rPh sb="37" eb="39">
      <t>イジョウ</t>
    </rPh>
    <rPh sb="45" eb="46">
      <t>ネツ</t>
    </rPh>
    <rPh sb="46" eb="48">
      <t>ボウソウ</t>
    </rPh>
    <rPh sb="48" eb="51">
      <t>ハッセイジ</t>
    </rPh>
    <rPh sb="52" eb="54">
      <t>ハツエン</t>
    </rPh>
    <rPh sb="57" eb="59">
      <t>ハイエン</t>
    </rPh>
    <rPh sb="64" eb="66">
      <t>キョリ</t>
    </rPh>
    <rPh sb="67" eb="69">
      <t>ハイエン</t>
    </rPh>
    <rPh sb="69" eb="71">
      <t>オンド</t>
    </rPh>
    <rPh sb="72" eb="75">
      <t>タブヒン</t>
    </rPh>
    <rPh sb="77" eb="79">
      <t>ハッカ</t>
    </rPh>
    <rPh sb="80" eb="82">
      <t>ハツエン</t>
    </rPh>
    <rPh sb="85" eb="87">
      <t>オンド</t>
    </rPh>
    <rPh sb="91" eb="93">
      <t>ケッテイ</t>
    </rPh>
    <phoneticPr fontId="6"/>
  </si>
  <si>
    <t>排煙ガス着火（引火） ＞ 排煙ガスと点火源が接触 ＞ 排煙ガス近くで点火源が発生（パック外） ＞ ケース塗装の自己着火（金属ケース） ＞ パック内温度が高温（ストレス大） ＞ ケース断熱不足（ストレングス小） ＞ 断熱材の厚み不足 ＞ 排煙経路の距離が短い</t>
  </si>
  <si>
    <t>安全弁（噴出口）を過大にしない設計とすること（噴出口過大による噴出角度と範囲拡大を防ぐ）</t>
    <rPh sb="33" eb="35">
      <t>カクド</t>
    </rPh>
    <phoneticPr fontId="6"/>
  </si>
  <si>
    <t>熱暴走発生時、セルからの噴出範囲は安全弁を中心に±35度の範囲とすること。
範囲が狭いとアッパー断熱へのダメージ大のためLi6Bから変更あればアッパー断熱材との協調が必要</t>
    <rPh sb="12" eb="14">
      <t>フンシュツ</t>
    </rPh>
    <rPh sb="14" eb="16">
      <t>ハンイ</t>
    </rPh>
    <rPh sb="17" eb="20">
      <t>アンゼンベン</t>
    </rPh>
    <rPh sb="21" eb="23">
      <t>チュウシン</t>
    </rPh>
    <rPh sb="27" eb="28">
      <t>ド</t>
    </rPh>
    <rPh sb="29" eb="31">
      <t>ハンイ</t>
    </rPh>
    <rPh sb="38" eb="40">
      <t>ハンイ</t>
    </rPh>
    <rPh sb="41" eb="42">
      <t>セマ</t>
    </rPh>
    <rPh sb="48" eb="50">
      <t>ダンネツ</t>
    </rPh>
    <rPh sb="56" eb="57">
      <t>ダイ</t>
    </rPh>
    <rPh sb="66" eb="68">
      <t>ヘンコウ</t>
    </rPh>
    <rPh sb="75" eb="77">
      <t>ダンネツ</t>
    </rPh>
    <rPh sb="77" eb="78">
      <t>ザイ</t>
    </rPh>
    <rPh sb="80" eb="82">
      <t>キョウチョウ</t>
    </rPh>
    <rPh sb="83" eb="85">
      <t>ヒツヨウ</t>
    </rPh>
    <phoneticPr fontId="6"/>
  </si>
  <si>
    <t>排煙ガス着火（引火） ＞ 排煙ガスと点火源が接触 ＞ 排煙ガス近くで点火源が発生（パック外） ＞ ケース塗装の自己着火（金属ケース） ＞ パック内温度が高温（ストレス大） ＞ ケース断熱不足（ストレングス小） ＞ 断熱範囲不足（噴出範囲＞断熱材サイズ） ＞ 安全弁（噴出口）が大きい</t>
  </si>
  <si>
    <t>安全弁（噴出口）を過大にしない設計とすること（噴出口過大による噴出範囲拡大を防ぐ）</t>
  </si>
  <si>
    <t>BATs-041
45PLからのセル変化点からアッパーとの隙を**mm、**に設定する</t>
    <rPh sb="18" eb="20">
      <t>ヘンカ</t>
    </rPh>
    <rPh sb="20" eb="21">
      <t>テン</t>
    </rPh>
    <rPh sb="29" eb="30">
      <t>スキ</t>
    </rPh>
    <rPh sb="39" eb="41">
      <t>セッテイ</t>
    </rPh>
    <phoneticPr fontId="6"/>
  </si>
  <si>
    <t>排煙ガス着火（引火） ＞ 排煙ガスと点火源が接触 ＞ 排煙ガス近くで点火源が発生（パック外） ＞ ケース塗装の自己着火（金属ケース） ＞ パック内温度が高温（ストレス大） ＞ ケース断熱不足（ストレングス小） ＞ 断熱範囲不足（噴出範囲＞断熱材サイズ） ＞ 安全弁（噴出口）が大きい ＞ 排煙空間（余剰体積）小</t>
  </si>
  <si>
    <t>噴出角度を過大にしない安全弁設計とすること（噴出角度過大による噴出範囲拡大を防ぐ）</t>
  </si>
  <si>
    <t>BATs-050に統合
排煙ガス着火（引火） ＞ 排煙ガスと点火源が接触 ＞ 排煙ガス近くで点火源が発生（パック外） ＞ ケース塗装の自己着火（金属ケース） ＞ パック内温度が高温（ストレス大） ＞ ケース断熱不足（ストレングス小） ＞ 噴出角度大</t>
    <rPh sb="9" eb="11">
      <t>トウゴウ</t>
    </rPh>
    <phoneticPr fontId="6"/>
  </si>
  <si>
    <t>内容物の吸熱量を十分に確保すること（吸熱不足による温度上昇を防ぐ）</t>
    <phoneticPr fontId="6"/>
  </si>
  <si>
    <t>熱暴走時、排煙バルブ・呼吸膜・シール部耐熱</t>
    <rPh sb="0" eb="1">
      <t>ネツ</t>
    </rPh>
    <rPh sb="1" eb="3">
      <t>ボウソウ</t>
    </rPh>
    <rPh sb="3" eb="4">
      <t>ジ</t>
    </rPh>
    <rPh sb="5" eb="7">
      <t>ハイエン</t>
    </rPh>
    <rPh sb="11" eb="14">
      <t>コキュウマク</t>
    </rPh>
    <rPh sb="18" eb="19">
      <t>ブ</t>
    </rPh>
    <rPh sb="19" eb="21">
      <t>タイネツ</t>
    </rPh>
    <phoneticPr fontId="6"/>
  </si>
  <si>
    <t>排煙ガス着火（引火） ＞ 排煙ガスと点火源が接触 ＞ 排煙ガス近くで点火源が発生（パック外） ＞ ケース塗装の自己着火（金属ケース） ＞ パック内温度が高温（ストレス大） ＞ ケース断熱不足（ストレングス小） ＞ 噴出角度大 ＞ 内容物の吸熱量が小さい</t>
    <phoneticPr fontId="6"/>
  </si>
  <si>
    <t>内容物の吸熱量を十分に確保すること（吸熱不足による温度上昇を防ぐ）</t>
  </si>
  <si>
    <t>既出案件</t>
    <rPh sb="0" eb="4">
      <t>キシュツアンケン</t>
    </rPh>
    <phoneticPr fontId="6"/>
  </si>
  <si>
    <t>安全弁以外からの噴出を防止する構造とすること（想定外箇所からの噴出を防ぐ）</t>
  </si>
  <si>
    <t>BATs-013に統合
排煙ガス着火（引火） ＞ 排煙ガスと点火源が接触 ＞ 排煙ガス近くで点火源が発生（パック外） ＞ ケース塗装の自己着火（金属ケース） ＞ パック内温度が高温（ストレス大） ＞ ケース断熱不足（ストレングス小） ＞ 安全弁以外からの噴出</t>
    <phoneticPr fontId="6"/>
  </si>
  <si>
    <t>発煙ブラストによる穴開きを防止する保護構造を有すること（ブラストによる穴開きを防ぐ）</t>
  </si>
  <si>
    <t>排煙ガス着火（引火） ＞ 排煙ガスと点火源が接触 ＞ 排煙ガス近くで点火源が発生（パック外） ＞ ケース溶損(短絡)によるスパーク ＞ セル間バスバー絶縁破壊 ＞ 噴出物堆積による保護材溶損 ＞ 断熱材構造の破壊 ＞ 発煙ブラストによる穴開き</t>
  </si>
  <si>
    <t>保護材内部への噴出物侵入を防止する構造とすること（噴出物侵入による保護材溶損を防ぐ）</t>
    <phoneticPr fontId="6"/>
  </si>
  <si>
    <t>熱拡散試験中、保護材は静隙 3mm以下を目標として
隙間を詰めて噴出物の侵入を防止しなければならない。</t>
    <rPh sb="0" eb="6">
      <t>ネツカクサンシケンチュウ</t>
    </rPh>
    <rPh sb="7" eb="9">
      <t>ホゴ</t>
    </rPh>
    <rPh sb="9" eb="10">
      <t>ザイ</t>
    </rPh>
    <rPh sb="11" eb="12">
      <t>セイ</t>
    </rPh>
    <rPh sb="12" eb="13">
      <t>スキ</t>
    </rPh>
    <rPh sb="17" eb="19">
      <t>イカ</t>
    </rPh>
    <rPh sb="20" eb="22">
      <t>モクヒョウ</t>
    </rPh>
    <rPh sb="26" eb="28">
      <t>スキマ</t>
    </rPh>
    <rPh sb="29" eb="30">
      <t>ツ</t>
    </rPh>
    <rPh sb="32" eb="35">
      <t>フンシュツブツ</t>
    </rPh>
    <rPh sb="36" eb="38">
      <t>シンニュウ</t>
    </rPh>
    <rPh sb="39" eb="41">
      <t>ボウシ</t>
    </rPh>
    <phoneticPr fontId="6"/>
  </si>
  <si>
    <t>排煙ガス着火（引火） ＞ 排煙ガスと点火源が接触 ＞ 排煙ガス近くで点火源が発生（パック外） ＞ ケース溶損(短絡)によるスパーク ＞ セル間バスバー絶縁破壊 ＞ 保護材内部への噴出物侵入</t>
    <phoneticPr fontId="6"/>
  </si>
  <si>
    <t>45PL実績</t>
    <rPh sb="4" eb="6">
      <t>ジッセキ</t>
    </rPh>
    <phoneticPr fontId="6"/>
  </si>
  <si>
    <t>保護材内部への噴出物侵入を防止する構造とすること（噴出物侵入による保護材溶損を防ぐ）</t>
  </si>
  <si>
    <t>？？</t>
    <phoneticPr fontId="6"/>
  </si>
  <si>
    <t>アッパー断熱材の剥がれ・めくれを防止する固定・接合構造を有すること（断熱材の剥離を防ぐ）</t>
    <phoneticPr fontId="6"/>
  </si>
  <si>
    <t>熱拡散試験中、アッパー断熱材は剥離及びめくれを防止する固定・接合構造を有しなければならない。　</t>
    <rPh sb="0" eb="1">
      <t>ネツ</t>
    </rPh>
    <rPh sb="1" eb="3">
      <t>カクサン</t>
    </rPh>
    <rPh sb="3" eb="6">
      <t>シケンチュウ</t>
    </rPh>
    <rPh sb="11" eb="14">
      <t>ダンネツザイ</t>
    </rPh>
    <rPh sb="15" eb="17">
      <t>ハクリ</t>
    </rPh>
    <rPh sb="17" eb="18">
      <t>オヨ</t>
    </rPh>
    <rPh sb="23" eb="25">
      <t>ボウシ</t>
    </rPh>
    <rPh sb="27" eb="29">
      <t>コテイ</t>
    </rPh>
    <rPh sb="30" eb="32">
      <t>セツゴウ</t>
    </rPh>
    <rPh sb="32" eb="34">
      <t>コウゾウ</t>
    </rPh>
    <rPh sb="35" eb="36">
      <t>ユウ</t>
    </rPh>
    <phoneticPr fontId="6"/>
  </si>
  <si>
    <t>排煙ガス着火（引火） ＞ 排煙ガスと点火源が接触 ＞ 排煙ガス近くで点火源が発生（パック外） ＞ ケース溶損(短絡)によるスパーク ＞ セル間バスバー絶縁破壊 ＞ 噴出物堆積による保護材溶損 ＞ 断熱材構造の破壊 ＞ 断熱材の剥がれ/めくれ</t>
    <phoneticPr fontId="6"/>
  </si>
  <si>
    <t>必要絶縁性能とリークパス経路形成防止を基本とする</t>
  </si>
  <si>
    <t>断熱材の剥がれ・めくれを防止する固定・接合構造を有すること（断熱材の剥離を防ぐ）</t>
  </si>
  <si>
    <t>安全弁以外からのラプチャ発生を防止する強度設計とすること（想定外ラプチャを防ぐ）</t>
  </si>
  <si>
    <t>BATs-013に統合
排煙ガス着火（引火） ＞ 排煙ガスと点火源が接触 ＞ 排煙ガス近くで点火源が発生（パック外） ＞ ケース溶損(短絡)によるスパーク ＞ セル間バスバー絶縁破壊 ＞ 安全弁以外からのラプチャ発生</t>
    <rPh sb="9" eb="11">
      <t>トウゴウ</t>
    </rPh>
    <phoneticPr fontId="6"/>
  </si>
  <si>
    <t>排煙バルブと発煙セルの距離を十分に確保すること（発煙セル近接によるブラスト放出影響を抑える）</t>
    <rPh sb="0" eb="2">
      <t>ハイエン</t>
    </rPh>
    <phoneticPr fontId="6"/>
  </si>
  <si>
    <t>排煙バルブは発煙セルの噴出範囲±35度以内に設定しないこと
※セル排煙範囲により変動</t>
    <rPh sb="0" eb="2">
      <t>ハイエン</t>
    </rPh>
    <rPh sb="6" eb="8">
      <t>ハツエン</t>
    </rPh>
    <rPh sb="11" eb="13">
      <t>フンシュツ</t>
    </rPh>
    <rPh sb="13" eb="15">
      <t>ハンイ</t>
    </rPh>
    <rPh sb="18" eb="19">
      <t>ド</t>
    </rPh>
    <rPh sb="19" eb="21">
      <t>イナイ</t>
    </rPh>
    <rPh sb="22" eb="24">
      <t>セッテイ</t>
    </rPh>
    <rPh sb="33" eb="35">
      <t>ハイエン</t>
    </rPh>
    <rPh sb="35" eb="37">
      <t>ハンイ</t>
    </rPh>
    <rPh sb="40" eb="42">
      <t>ヘンドウ</t>
    </rPh>
    <phoneticPr fontId="6"/>
  </si>
  <si>
    <t>排煙ガス着火（引火） ＞ 排煙ガスと点火源が接触 ＞ 排煙ガス近くで点火源が発生（パック外） ＞ セル発煙ブラストのパック外放出（シール破綻） ＞ リリーフバルプからブラスト放出 ＞ 発煙セルから距離が近い</t>
  </si>
  <si>
    <t>リリーフバルブと発煙セルの距離を十分に確保すること（発煙セル近接によるブラスト放出影響を抑える）</t>
  </si>
  <si>
    <t>全高さ下げるために可能な限り下げたい！CtoP構造でのストレスとストレングスを把握して、次回試作では、パック高さどこまで下げられるか、見て！！！！</t>
    <rPh sb="0" eb="2">
      <t>ゼンタカ</t>
    </rPh>
    <rPh sb="3" eb="4">
      <t>サ</t>
    </rPh>
    <rPh sb="9" eb="11">
      <t>カノウ</t>
    </rPh>
    <rPh sb="12" eb="13">
      <t>カギ</t>
    </rPh>
    <rPh sb="14" eb="15">
      <t>サ</t>
    </rPh>
    <rPh sb="23" eb="25">
      <t>コウゾウ</t>
    </rPh>
    <rPh sb="39" eb="41">
      <t>ハアク</t>
    </rPh>
    <rPh sb="44" eb="46">
      <t>ジカイ</t>
    </rPh>
    <rPh sb="46" eb="48">
      <t>シサク</t>
    </rPh>
    <rPh sb="54" eb="55">
      <t>タカ</t>
    </rPh>
    <rPh sb="60" eb="61">
      <t>サ</t>
    </rPh>
    <rPh sb="67" eb="68">
      <t>ミ</t>
    </rPh>
    <phoneticPr fontId="6"/>
  </si>
  <si>
    <t>排煙ガスの温度を抑制すること（排煙ガス高温化による自己着火を防ぐ）</t>
  </si>
  <si>
    <t>BATs-038に統合
排煙ガス着火（引火） ＞ 排煙ガスの自己着火 ＞ 排煙ガスが高温</t>
    <phoneticPr fontId="6"/>
  </si>
  <si>
    <t>パック内の酸素濃度を自己着火に至らない水準に管理すること（酸素濃度過多による失火抑制を防ぐ）</t>
  </si>
  <si>
    <t>BATs-010と同様
排煙ガス着火（引火） ＞ 排煙ガスと点火源が接触 ＞ 排煙ガス近くで点火源が発生（パック外） ＞ セル発煙ブラストのパック外放出（シール破綻） ＞ リリーフバルプからブラスト放出 ＞ パック内の酸素濃度が高い（失火しない）</t>
    <rPh sb="9" eb="11">
      <t>ドウヨウ</t>
    </rPh>
    <phoneticPr fontId="6"/>
  </si>
  <si>
    <t>ガス流速が過度に低くならない排煙設計とすること（低流速による自己着火を防ぐ）</t>
  </si>
  <si>
    <t>排煙ガス着火（引火） ＞ 排煙ガスの自己着火 ＞ 酸素濃度が高い（適量） ＞ ガス流速が低い</t>
  </si>
  <si>
    <t>周辺部品・付属品の高温自己着火を防止する材料・配置とすること（付属品の自己着火を防ぐ）</t>
    <phoneticPr fontId="6"/>
  </si>
  <si>
    <t>熱暴走発生時、アッパーケースは周辺部品・付属品の温度が自己着火温度に達しないようにしなければならない。</t>
    <rPh sb="0" eb="6">
      <t>ネツボウソウハッセイジ</t>
    </rPh>
    <phoneticPr fontId="6"/>
  </si>
  <si>
    <t>パックの周辺部品や付属品が高温自己着火</t>
    <phoneticPr fontId="6"/>
  </si>
  <si>
    <t>アッパー断熱要件？どの部品に割り付けられる？</t>
    <rPh sb="4" eb="6">
      <t>ダンネツ</t>
    </rPh>
    <rPh sb="6" eb="8">
      <t>ヨウケン</t>
    </rPh>
    <rPh sb="11" eb="13">
      <t>ブヒン</t>
    </rPh>
    <rPh sb="14" eb="15">
      <t>ワ</t>
    </rPh>
    <rPh sb="16" eb="17">
      <t>ツ</t>
    </rPh>
    <phoneticPr fontId="6"/>
  </si>
  <si>
    <t>周辺部品・付属品の高温自己着火を防止する材料・配置とすること（付属品の自己着火を防ぐ）</t>
  </si>
  <si>
    <t>排煙を検知する</t>
    <rPh sb="0" eb="2">
      <t>ハイエン</t>
    </rPh>
    <rPh sb="3" eb="5">
      <t>ケンチ</t>
    </rPh>
    <phoneticPr fontId="6"/>
  </si>
  <si>
    <t>排煙検知時、警報担当部品は聴覚・視覚信号で構成した警報を発し、少なくとも5分間継続しなければならない。</t>
    <rPh sb="0" eb="4">
      <t>ハイエンケンチ</t>
    </rPh>
    <rPh sb="4" eb="5">
      <t>トキ</t>
    </rPh>
    <rPh sb="8" eb="12">
      <t>タントウブヒン</t>
    </rPh>
    <rPh sb="21" eb="23">
      <t>コウセイ</t>
    </rPh>
    <rPh sb="25" eb="27">
      <t>ケイホウ</t>
    </rPh>
    <rPh sb="28" eb="29">
      <t>ハッ</t>
    </rPh>
    <phoneticPr fontId="6"/>
  </si>
  <si>
    <t>法規</t>
    <rPh sb="0" eb="2">
      <t>ホウキ</t>
    </rPh>
    <phoneticPr fontId="6"/>
  </si>
  <si>
    <t>対応中</t>
  </si>
  <si>
    <t>熱事象発生から3分以内に警報作動</t>
    <rPh sb="0" eb="1">
      <t>ネツ</t>
    </rPh>
    <rPh sb="1" eb="3">
      <t>ジショウ</t>
    </rPh>
    <rPh sb="3" eb="5">
      <t>ハッセイ</t>
    </rPh>
    <rPh sb="8" eb="9">
      <t>ブ</t>
    </rPh>
    <rPh sb="9" eb="11">
      <t>イナイ</t>
    </rPh>
    <rPh sb="12" eb="14">
      <t>ケイホウ</t>
    </rPh>
    <rPh sb="14" eb="16">
      <t>サドウ</t>
    </rPh>
    <phoneticPr fontId="6"/>
  </si>
  <si>
    <t xml:space="preserve">IG-ON中、
排煙センサ① 15℃/8sec以上＆排煙センサ② 5℃/8sec以上が1sec継続時、&lt;対象部品&gt;は警報を作動しなければならない。
IG-OFF中、
排煙センサ①or②(おそらく) 15℃/30sec以上となった時
&lt;対象部品&gt;は警報を作動しなければならない。
熱事象検知時、&lt;対象部品&gt;は3分以内に警報を作動しなければならない。
排煙検知センサは排煙バルブ近傍に設置すること。
</t>
    <rPh sb="49" eb="50">
      <t>ジ</t>
    </rPh>
    <rPh sb="52" eb="54">
      <t>タイショウ</t>
    </rPh>
    <rPh sb="54" eb="56">
      <t>ブヒン</t>
    </rPh>
    <rPh sb="58" eb="60">
      <t>ケイホウ</t>
    </rPh>
    <rPh sb="61" eb="63">
      <t>サドウ</t>
    </rPh>
    <rPh sb="114" eb="115">
      <t>トキタイショウブヒンケイホウサドウ</t>
    </rPh>
    <rPh sb="175" eb="177">
      <t>ハイエン</t>
    </rPh>
    <rPh sb="177" eb="179">
      <t>ケンチ</t>
    </rPh>
    <rPh sb="183" eb="185">
      <t>ハイエン</t>
    </rPh>
    <rPh sb="188" eb="190">
      <t>キンボウ</t>
    </rPh>
    <rPh sb="191" eb="193">
      <t>セッチ</t>
    </rPh>
    <phoneticPr fontId="6"/>
  </si>
  <si>
    <t>警報信号の前後5分以内に、煙が乗員室に入らないこと</t>
  </si>
  <si>
    <t>部品別 要求割付マトリクス</t>
  </si>
  <si>
    <t>熱拡散防止サブシステムの全要求IDと部品割付を一覧表示</t>
  </si>
  <si>
    <t>更新方法：熱拡散防止サブシステム要求のA列へ新しい要求IDを追加し、同じ行のH～L列へ部品名を入力すると、要求IDは右端、部品名は下行へ自動追加され、該当箇所に「●」が表示されます。</t>
  </si>
  <si>
    <t>部品別要求マトリクス</t>
  </si>
  <si>
    <t>From＼To</t>
  </si>
  <si>
    <t>実働応力測定（機器部品耐振動）</t>
    <phoneticPr fontId="6"/>
  </si>
  <si>
    <t>突起乗り越し</t>
    <phoneticPr fontId="6"/>
  </si>
  <si>
    <t>悪路模擬耐久</t>
    <phoneticPr fontId="6"/>
  </si>
  <si>
    <t>高速波状路模擬耐久</t>
    <phoneticPr fontId="6"/>
  </si>
  <si>
    <t>ねじり耐久</t>
    <phoneticPr fontId="6"/>
  </si>
  <si>
    <t>山地悪路耐久</t>
    <phoneticPr fontId="6"/>
  </si>
  <si>
    <t>凹凸路耐久</t>
    <phoneticPr fontId="6"/>
  </si>
  <si>
    <t>サーキット模擬耐久</t>
    <phoneticPr fontId="6"/>
  </si>
  <si>
    <t>BS20 絶縁抵抗性能</t>
  </si>
  <si>
    <t>BS21 絶縁耐力性能</t>
  </si>
  <si>
    <t>BS22 高圧接触保護構造</t>
  </si>
  <si>
    <t>BS23 絶縁距離性能</t>
  </si>
  <si>
    <t>BS18 外部短絡安全性性能</t>
  </si>
  <si>
    <t>BAT-007 熱衝撃</t>
  </si>
  <si>
    <t>BS25 冷却温度制御条件</t>
  </si>
  <si>
    <t>BS27 動作温度限界性能</t>
  </si>
  <si>
    <t>BS28 環境動作温度・湿度範囲</t>
  </si>
  <si>
    <t>BS11 耐久信頼性性能</t>
  </si>
  <si>
    <t>BS12 振動適合</t>
  </si>
  <si>
    <t>BS16 圧壊安全性性能</t>
  </si>
  <si>
    <t>BS14 路面・落下物干渉防護</t>
  </si>
  <si>
    <t>BS19 底部機械防護性能</t>
  </si>
  <si>
    <t>BAT-017 側突</t>
  </si>
  <si>
    <t>BAT-018 ポール側突</t>
  </si>
  <si>
    <t>BS15 衝突安全性性能</t>
  </si>
  <si>
    <t>BAT-020 全体(社内規格)</t>
  </si>
  <si>
    <t>BAT-021 法規(UN-R-100/05)：セル、MDL 熱暴走</t>
    <phoneticPr fontId="6"/>
  </si>
  <si>
    <t>BAT-022 法規(UN-R-100/05)：セル、MDL 熱拡散</t>
    <rPh sb="8" eb="10">
      <t>ホウキ</t>
    </rPh>
    <rPh sb="31" eb="34">
      <t>ネツカクサン</t>
    </rPh>
    <phoneticPr fontId="6"/>
  </si>
  <si>
    <t>BAT-023 法規(UN-R-100/05)：REESS/電池パックレベル</t>
    <rPh sb="8" eb="10">
      <t>ホウキ</t>
    </rPh>
    <rPh sb="30" eb="32">
      <t>デンチ</t>
    </rPh>
    <phoneticPr fontId="6"/>
  </si>
  <si>
    <t>BAT-024 法規(UN-R-100/05)：車両レベル、REESS/電池パックレベル</t>
    <rPh sb="8" eb="10">
      <t>ホウキ</t>
    </rPh>
    <rPh sb="36" eb="38">
      <t>デンチ</t>
    </rPh>
    <phoneticPr fontId="6"/>
  </si>
  <si>
    <t>BAT-025 法規(GB38031-2025)：車両レベル、REESS/電池パックレベル共通</t>
    <rPh sb="8" eb="10">
      <t>ホウキ</t>
    </rPh>
    <rPh sb="25" eb="27">
      <t>シャリョウ</t>
    </rPh>
    <rPh sb="37" eb="39">
      <t>デンチ</t>
    </rPh>
    <rPh sb="45" eb="47">
      <t>キョウツウ</t>
    </rPh>
    <phoneticPr fontId="6"/>
  </si>
  <si>
    <t>BAT-026 法規(GB38031-2025)：REESS/電池パックレベル共通</t>
    <rPh sb="8" eb="10">
      <t>ホウキ</t>
    </rPh>
    <rPh sb="31" eb="33">
      <t>デンチ</t>
    </rPh>
    <rPh sb="39" eb="41">
      <t>キョウツウ</t>
    </rPh>
    <phoneticPr fontId="6"/>
  </si>
  <si>
    <t>BAT-027 法規(FMVSS305a/Part561)</t>
    <rPh sb="8" eb="10">
      <t>ホウキ</t>
    </rPh>
    <phoneticPr fontId="6"/>
  </si>
  <si>
    <t>BAT-028 セル内電極温度上昇を抑制すること</t>
    <phoneticPr fontId="6"/>
  </si>
  <si>
    <t>BAT-029 1セルのみ開弁し、隣接セルが開弁しないこと。</t>
    <phoneticPr fontId="6"/>
  </si>
  <si>
    <t>BAT-030 セル連鎖を防止する最小熱抵抗を確保できるセル間厚みを設定すること（新品・充電後）</t>
    <phoneticPr fontId="6"/>
  </si>
  <si>
    <t>BAT-031 排煙温度を抑制すること</t>
    <phoneticPr fontId="6"/>
  </si>
  <si>
    <t>BAT-032 端子シール温度を抑制すること</t>
    <phoneticPr fontId="6"/>
  </si>
  <si>
    <t>BAT-033 電極温度を抑制すること</t>
    <phoneticPr fontId="6"/>
  </si>
  <si>
    <t>BAT-034 トリガーガス温度を抑制すること</t>
    <phoneticPr fontId="6"/>
  </si>
  <si>
    <t>BAT-035 活電部とパックGNDが噴出物で短絡しない構造とすること</t>
    <phoneticPr fontId="6"/>
  </si>
  <si>
    <t>BAT-036 排煙センサにて異常検知できること</t>
    <phoneticPr fontId="6"/>
  </si>
  <si>
    <t>BAT-037 パックシール性能</t>
    <phoneticPr fontId="6"/>
  </si>
  <si>
    <t>BS31 パック防水性能</t>
  </si>
  <si>
    <t>BS32 水入り検知・防護性能</t>
  </si>
  <si>
    <t>BS33 シール・呼吸膜性能</t>
  </si>
  <si>
    <t>BAT-041 結露耐性</t>
    <phoneticPr fontId="6"/>
  </si>
  <si>
    <t>BS30 対象仕向地適合</t>
  </si>
  <si>
    <t>BS43 環境負荷物質制限</t>
  </si>
  <si>
    <t>BS44 材料マーキング・難燃性・VOC規格適合</t>
  </si>
  <si>
    <t>BS42 リサイクル容易性</t>
  </si>
  <si>
    <t>BAT-046 耐熱・耐火性能</t>
    <phoneticPr fontId="6"/>
  </si>
  <si>
    <t>BAT-047 絶縁・シール信頼性</t>
    <phoneticPr fontId="6"/>
  </si>
  <si>
    <t>K-2 冷却性能</t>
    <phoneticPr fontId="6"/>
  </si>
  <si>
    <t>BS02 冷却性能</t>
  </si>
  <si>
    <t>BS24 冷却方式仕様</t>
  </si>
  <si>
    <t>BS26 冷却性能・調停ロジック</t>
  </si>
  <si>
    <t>BS01 入出力</t>
  </si>
  <si>
    <t>BS03 通電電流</t>
  </si>
  <si>
    <t>BS04 急速充電性能</t>
  </si>
  <si>
    <t>BS05 電圧</t>
  </si>
  <si>
    <t>BS06 容量</t>
  </si>
  <si>
    <t>BS07 寿命</t>
  </si>
  <si>
    <t>BS29 寿命目標性能</t>
  </si>
  <si>
    <t>BS13 輸送法規適合</t>
  </si>
  <si>
    <t>BS35 UN R100.05規格適合</t>
  </si>
  <si>
    <t>BS36 GB38031-2025規格適合</t>
  </si>
  <si>
    <t>BS37 国際法規・安全規格適合</t>
  </si>
  <si>
    <t>BS34 NV・EMC性能目標</t>
  </si>
  <si>
    <t>BS39 体積・投影面積制限</t>
  </si>
  <si>
    <t>BS40 車両パッケージ適合</t>
  </si>
  <si>
    <t>K-6 原価</t>
  </si>
  <si>
    <t>K-6 質量</t>
  </si>
  <si>
    <t>BS41 量産性・サービス安全性能</t>
  </si>
  <si>
    <t>RelationID</t>
  </si>
  <si>
    <t>From要求ID</t>
  </si>
  <si>
    <t>To要求ID</t>
  </si>
  <si>
    <t>相関性記号</t>
  </si>
  <si>
    <t>関係種別</t>
  </si>
  <si>
    <t>方向性</t>
  </si>
  <si>
    <t>根拠/出典</t>
  </si>
  <si>
    <t>REL-001</t>
  </si>
  <si>
    <t>+</t>
  </si>
  <si>
    <t>連成</t>
  </si>
  <si>
    <t>From→To</t>
  </si>
  <si>
    <t>情報元（出典資料）: 20260402_解析力向上_素性・開発効率向上_V02_展開資料5.pdf</t>
  </si>
  <si>
    <t>REL-002</t>
  </si>
  <si>
    <t>情報元（出典資料）: 20260402_解析力向上_素性・開発効率向上_V02_展開資料5.pdf / 250321_プロ検_年度まとめ.pptx / 【部長級】将来BEV_電池×システム先行開発連携.pptx</t>
  </si>
  <si>
    <t>REL-003</t>
  </si>
  <si>
    <t>REL-004</t>
  </si>
  <si>
    <t>REL-005</t>
  </si>
  <si>
    <t>REL-006</t>
  </si>
  <si>
    <t>REL-007</t>
  </si>
  <si>
    <t>REL-008</t>
  </si>
  <si>
    <t>REL-009</t>
  </si>
  <si>
    <t>情報元（出典資料）: 20260402_解析力向上_素性・開発効率向上_V02_展開資料5.pdf / 260528_素性効率向上検討会_BVPx次世代コンセプト_期初計画.pptx</t>
  </si>
  <si>
    <t>REL-010</t>
  </si>
  <si>
    <t>REL-011</t>
  </si>
  <si>
    <t>REL-012</t>
  </si>
  <si>
    <t>REL-013</t>
  </si>
  <si>
    <t>REL-014</t>
  </si>
  <si>
    <t>REL-015</t>
  </si>
  <si>
    <t>情報元（出典資料）: 【部長級】将来BEV_電池×システム先行開発連携.pptx / 20260402_解析力向上_素性・開発効率向上_V02_展開資料5.pdf</t>
  </si>
  <si>
    <t>REL-016</t>
  </si>
  <si>
    <t>REL-017</t>
  </si>
  <si>
    <t>REL-018</t>
  </si>
  <si>
    <t>情報元（出典資料）: 記載なし</t>
  </si>
  <si>
    <t>REL-019</t>
  </si>
  <si>
    <t>REL-020</t>
  </si>
  <si>
    <t>REL-021</t>
  </si>
  <si>
    <t>REL-022</t>
  </si>
  <si>
    <t>REL-023</t>
  </si>
  <si>
    <t>電池パック ⇔ 他システム影響</t>
  </si>
  <si>
    <t>・要求一覧（システム要求）の各有効行を全件登録。影響先は根拠確認後に入力する前提。</t>
  </si>
  <si>
    <t>影響ID</t>
  </si>
  <si>
    <t>管理ID</t>
  </si>
  <si>
    <t>From 要求名/説明</t>
  </si>
  <si>
    <t>To 影響先システム</t>
  </si>
  <si>
    <t>To 影響先システム2</t>
  </si>
  <si>
    <t>To 影響先システム3</t>
  </si>
  <si>
    <t>影響先要求名</t>
  </si>
  <si>
    <t>影響種別(+/-/その他)</t>
  </si>
  <si>
    <t>影響方向</t>
  </si>
  <si>
    <t>IMP-001</t>
  </si>
  <si>
    <t>BAT-001</t>
  </si>
  <si>
    <t>K-4 高電圧安全・絶縁</t>
    <phoneticPr fontId="6"/>
  </si>
  <si>
    <t>IMP-002</t>
  </si>
  <si>
    <t>BAT-002</t>
  </si>
  <si>
    <t>高電圧回路とシャーシグラウンド間の絶縁要求</t>
  </si>
  <si>
    <t>IMP-003</t>
  </si>
  <si>
    <t>BAT-003</t>
  </si>
  <si>
    <t>高電圧印加時の絶縁破壊耐性</t>
  </si>
  <si>
    <t>IMP-004</t>
  </si>
  <si>
    <t>BAT-004</t>
  </si>
  <si>
    <t>感電防止の物理保護構造（IPXXB等）</t>
  </si>
  <si>
    <t>IMP-005</t>
  </si>
  <si>
    <t>BAT-005</t>
  </si>
  <si>
    <t>沿面距離・空間距離の安全基準</t>
  </si>
  <si>
    <t>IMP-006</t>
  </si>
  <si>
    <t>BAT-006</t>
  </si>
  <si>
    <t>外部短絡時の耐性と安全性</t>
  </si>
  <si>
    <t>IMP-007</t>
  </si>
  <si>
    <t>IMP-008</t>
  </si>
  <si>
    <t>セル充放電時の許容温度範囲</t>
  </si>
  <si>
    <t>IMP-009</t>
  </si>
  <si>
    <t>極低温・極高温下のシステム出力動作限界</t>
  </si>
  <si>
    <t>IMP-010</t>
  </si>
  <si>
    <t>車両運用の外的環境仕様</t>
  </si>
  <si>
    <t>IMP-011</t>
  </si>
  <si>
    <t>IMP-012</t>
  </si>
  <si>
    <t>実働応力・悪路・高速波状路・突起乗り越し等の構造耐久</t>
  </si>
  <si>
    <t>IMP-013</t>
  </si>
  <si>
    <t>BAT-013</t>
  </si>
  <si>
    <t>走行振動を模擬した規格適合試験要求</t>
  </si>
  <si>
    <t>IMP-014</t>
  </si>
  <si>
    <t>BAT-014</t>
  </si>
  <si>
    <t>圧壊試験における圧壊耐性と安全性</t>
  </si>
  <si>
    <t>IMP-015</t>
  </si>
  <si>
    <t>BAT-015</t>
  </si>
  <si>
    <t>外部突起干渉・衝突に対する物理防護</t>
  </si>
  <si>
    <t>IMP-016</t>
  </si>
  <si>
    <t>BAT-016</t>
  </si>
  <si>
    <t>電池パック底部の物理防護・耐荷重</t>
  </si>
  <si>
    <t>IMP-017</t>
  </si>
  <si>
    <t>BAT-017</t>
  </si>
  <si>
    <t>IMP-018</t>
  </si>
  <si>
    <t>BAT-018</t>
  </si>
  <si>
    <t>IMP-019</t>
  </si>
  <si>
    <t>BAT-019</t>
  </si>
  <si>
    <t>衝突時のエネルギー吸収量・セル保護判定</t>
  </si>
  <si>
    <t>IMP-021</t>
  </si>
  <si>
    <t>BAT-020</t>
  </si>
  <si>
    <t>EXT013</t>
  </si>
  <si>
    <t>EXT011</t>
  </si>
  <si>
    <t>EXT006</t>
  </si>
  <si>
    <t>IMP-022</t>
  </si>
  <si>
    <t>BAT-021</t>
  </si>
  <si>
    <t>IMP-023</t>
  </si>
  <si>
    <t>BAT-022</t>
  </si>
  <si>
    <t>IMP-024</t>
  </si>
  <si>
    <t>BAT-023</t>
  </si>
  <si>
    <t>IMP-025</t>
  </si>
  <si>
    <t>BAT-024</t>
  </si>
  <si>
    <t>IMP-026</t>
  </si>
  <si>
    <t>BAT-025</t>
  </si>
  <si>
    <t>IMP-027</t>
  </si>
  <si>
    <t>BAT-026</t>
  </si>
  <si>
    <t>IMP-036</t>
  </si>
  <si>
    <t>BAT-027</t>
  </si>
  <si>
    <t>排煙センサにて異常検知できること</t>
  </si>
  <si>
    <t>IMP-037</t>
  </si>
  <si>
    <t>BAT-028</t>
  </si>
  <si>
    <t>IMP-038</t>
  </si>
  <si>
    <t>BAT-029</t>
  </si>
  <si>
    <t>外部浸水に対する防護レベル（IPX7等）</t>
  </si>
  <si>
    <t>IMP-039</t>
  </si>
  <si>
    <t>BAT-030</t>
  </si>
  <si>
    <t>パック内部浸水の即時検知機能</t>
  </si>
  <si>
    <t>IMP-040</t>
  </si>
  <si>
    <t>BAT-031</t>
  </si>
  <si>
    <t>内外気圧差調停と高気密維持</t>
  </si>
  <si>
    <t>IMP-041</t>
  </si>
  <si>
    <t>BAT-032</t>
  </si>
  <si>
    <t>IMP-042</t>
  </si>
  <si>
    <t>BAT-033</t>
  </si>
  <si>
    <t>各国の使用環境や法規への適合</t>
  </si>
  <si>
    <t>IMP-043</t>
  </si>
  <si>
    <t>BAT-034</t>
  </si>
  <si>
    <t>有害物質（RoHS/REACH等）の排除</t>
  </si>
  <si>
    <t>IMP-044</t>
  </si>
  <si>
    <t>BAT-035</t>
  </si>
  <si>
    <t>難燃基準・車室内VOC基準適合</t>
  </si>
  <si>
    <t>IMP-045</t>
  </si>
  <si>
    <t>BAT-036</t>
  </si>
  <si>
    <t>廃車時の解体容易性・素材識別性</t>
  </si>
  <si>
    <t>IMP-046</t>
  </si>
  <si>
    <t>BAT-037</t>
  </si>
  <si>
    <t>IMP-047</t>
  </si>
  <si>
    <t>BAT-038</t>
  </si>
  <si>
    <t>IMP-048</t>
  </si>
  <si>
    <t>BAT-039</t>
  </si>
  <si>
    <t>IMP-049</t>
  </si>
  <si>
    <t>BAT-040</t>
  </si>
  <si>
    <t>パック熱マネジメントの冷却効率</t>
  </si>
  <si>
    <t>IMP-050</t>
  </si>
  <si>
    <t>BAT-041</t>
  </si>
  <si>
    <t>液冷・液浸・空冷等の方式選定基準</t>
  </si>
  <si>
    <t>IMP-051</t>
  </si>
  <si>
    <t>BAT-042</t>
  </si>
  <si>
    <t>各種熱負荷に応じた冷却調停</t>
  </si>
  <si>
    <t>IMP-052</t>
  </si>
  <si>
    <t>BAT-043</t>
  </si>
  <si>
    <t>航続距離要件等を定義する基本入出力性能</t>
  </si>
  <si>
    <t>IMP-053</t>
  </si>
  <si>
    <t>BAT-044</t>
  </si>
  <si>
    <t>通電および許容電流に関する要求</t>
  </si>
  <si>
    <t>IMP-054</t>
  </si>
  <si>
    <t>BAT-045</t>
  </si>
  <si>
    <t>急速充電にかかる時間・効率</t>
  </si>
  <si>
    <t>IMP-055</t>
  </si>
  <si>
    <t>BAT-046</t>
  </si>
  <si>
    <t>システム動作電圧に関する仕様</t>
  </si>
  <si>
    <t>IMP-056</t>
  </si>
  <si>
    <t>BAT-047</t>
  </si>
  <si>
    <t>電池パックの総容量仕様</t>
  </si>
  <si>
    <t>IMP-057</t>
  </si>
  <si>
    <t>BAT-048</t>
  </si>
  <si>
    <t>電池パックの寿命および容量維持率</t>
  </si>
  <si>
    <t>IMP-058</t>
  </si>
  <si>
    <t>BAT-049</t>
  </si>
  <si>
    <t>長期運用における目標維持率</t>
  </si>
  <si>
    <t>IMP-059</t>
  </si>
  <si>
    <t>BAT-050</t>
  </si>
  <si>
    <t>IMP-060</t>
  </si>
  <si>
    <t>BAT-051</t>
  </si>
  <si>
    <t>国際輸送時（UN38.3等）の安全性</t>
  </si>
  <si>
    <t>IMP-061</t>
  </si>
  <si>
    <t>BAT-052</t>
  </si>
  <si>
    <t>高電圧車両安全に関する欧州・国際法規適合</t>
  </si>
  <si>
    <t>IMP-062</t>
  </si>
  <si>
    <t>BAT-053</t>
  </si>
  <si>
    <t>中国トラクションバッテリー安全規格適合</t>
  </si>
  <si>
    <t>IMP-063</t>
  </si>
  <si>
    <t>BAT-054</t>
  </si>
  <si>
    <t>各国の主要法規・標準への適合</t>
  </si>
  <si>
    <t>IMP-064</t>
  </si>
  <si>
    <t>BAT-055</t>
  </si>
  <si>
    <t>IMP-065</t>
  </si>
  <si>
    <t>BAT-056</t>
  </si>
  <si>
    <t>騒音・振動および電磁両立性</t>
  </si>
  <si>
    <t>IMP-066</t>
  </si>
  <si>
    <t>BAT-057</t>
  </si>
  <si>
    <t>床下搭載スペースに収めるための外形制約</t>
  </si>
  <si>
    <t>IMP-067</t>
  </si>
  <si>
    <t>BAT-058</t>
  </si>
  <si>
    <t>艤装性・締結箇所等の車両取り合い</t>
  </si>
  <si>
    <t>IMP-068</t>
  </si>
  <si>
    <t>BAT-059</t>
  </si>
  <si>
    <t>IMP-069</t>
  </si>
  <si>
    <t>BAT-060</t>
  </si>
  <si>
    <t>IMP-070</t>
  </si>
  <si>
    <t>BAT-061</t>
  </si>
  <si>
    <t>IMP-071</t>
  </si>
  <si>
    <t>BAT-062</t>
  </si>
  <si>
    <t>製造ラインでの組みやすさ・分解メンテ安全</t>
  </si>
  <si>
    <t>外部システム</t>
    <rPh sb="0" eb="2">
      <t>ガイブ</t>
    </rPh>
    <phoneticPr fontId="6"/>
  </si>
  <si>
    <t>【外部システム：車両内（電気・制御）】</t>
  </si>
  <si>
    <t>EXT001</t>
  </si>
  <si>
    <t>高電圧配電系（ジャンクションボックス・高圧ハーネス）</t>
  </si>
  <si>
    <t>EXT002</t>
  </si>
  <si>
    <t>PCU／インバータ・駆動モータ（電動パワートレーン）</t>
  </si>
  <si>
    <t>EXT003</t>
  </si>
  <si>
    <t>DC-DCコンバータ・補機12V電源系</t>
  </si>
  <si>
    <t>EXT004</t>
  </si>
  <si>
    <t>車載充電器（OBC）／充電インレット・充電制御</t>
  </si>
  <si>
    <t>EXT005</t>
  </si>
  <si>
    <t>外部急速充電設備インタフェース（CHAdeMO／CCS／GB/T）</t>
  </si>
  <si>
    <t>BMS上位：車両制御ECU（VCU／HV-ECU）</t>
  </si>
  <si>
    <t>EXT007</t>
  </si>
  <si>
    <t>車載ネットワーク（CAN／CAN-FD／Ethernet）</t>
  </si>
  <si>
    <t>EXT008</t>
  </si>
  <si>
    <t>電源遮断・サービスプラグ／メインリレー系</t>
  </si>
  <si>
    <t>EXT009</t>
  </si>
  <si>
    <t>衝突検知・エアバッグECU（衝突時高電圧遮断）</t>
  </si>
  <si>
    <t>EXT010</t>
  </si>
  <si>
    <t>絶縁抵抗監視（漏電検知）システム</t>
  </si>
  <si>
    <t/>
  </si>
  <si>
    <t>【外部システム：車両内（熱・機械）】</t>
  </si>
  <si>
    <t>電池冷却／熱管理システム（クーラント回路・チラー・ヒータ）</t>
  </si>
  <si>
    <t>EXT012</t>
  </si>
  <si>
    <t>空調（HVAC）システム・乗員室換気</t>
  </si>
  <si>
    <t>車体骨格・フロア構造／サイドメンバ（側突・ポール側突）</t>
  </si>
  <si>
    <t>EXT014</t>
  </si>
  <si>
    <t>サスペンション・車両運動（振動・悪路入力）</t>
  </si>
  <si>
    <t>EXT015</t>
  </si>
  <si>
    <t>アンダーカバー／床下防護構造（路面干渉・落下物）</t>
  </si>
  <si>
    <t>EXT016</t>
  </si>
  <si>
    <t>排煙・ベントダクト（熱暴走ガス排出経路）</t>
  </si>
  <si>
    <t>EXT017</t>
  </si>
  <si>
    <t>消火／熱拡散抑制デバイス</t>
  </si>
  <si>
    <t>【外部システム：車両外・オフボード】</t>
  </si>
  <si>
    <t>EXT018</t>
  </si>
  <si>
    <t>警報・HMI（メータ表示・警報音）／乗員通知</t>
  </si>
  <si>
    <t>EXT019</t>
  </si>
  <si>
    <t>テレマティクス・コネクテッドサービス（遠隔監視・OTA）</t>
  </si>
  <si>
    <t>EXT020</t>
  </si>
  <si>
    <t>充電インフラ・電力系統／V2G・V2H</t>
  </si>
  <si>
    <t>EXT021</t>
  </si>
  <si>
    <t>診断ツール・サービスツール（故障診断／整備）</t>
  </si>
  <si>
    <t>EXT022</t>
  </si>
  <si>
    <t>生産設備・組立ライン／物流（輸送・保管）</t>
  </si>
  <si>
    <t>EXT023</t>
  </si>
  <si>
    <t>リユース・リサイクル・廃棄システム</t>
  </si>
  <si>
    <t>【ステークホルダー】</t>
  </si>
  <si>
    <t>EXT024</t>
  </si>
  <si>
    <t>ユーザ／ドライバ・乗員</t>
  </si>
  <si>
    <t>EXT025</t>
  </si>
  <si>
    <t>整備・サービス事業者（ディーラ）</t>
  </si>
  <si>
    <t>EXT026</t>
  </si>
  <si>
    <t>救助隊・消防・レスキュー（第一対応者）</t>
  </si>
  <si>
    <t>EXT027</t>
  </si>
  <si>
    <t>法規当局・認証機関（UN-R100/05、GB38031、FMVSS305a/Part561）</t>
  </si>
  <si>
    <t>EXT028</t>
  </si>
  <si>
    <t>試験・認証機関（型式認証、NCAP等）</t>
  </si>
  <si>
    <t>EXT029</t>
  </si>
  <si>
    <t>セルメーカ・電池サプライヤ</t>
  </si>
  <si>
    <t>EXT030</t>
  </si>
  <si>
    <t>部品サプライヤ（熱伝導材・断熱材・筐体・電装部品）</t>
  </si>
  <si>
    <t>EXT031</t>
  </si>
  <si>
    <t>車両開発部門（車体・シャシ・電子・熱・安全性能）</t>
  </si>
  <si>
    <t>EXT032</t>
  </si>
  <si>
    <t>電池パック開発・機能主査（熱拡散・強度・電気安全）</t>
  </si>
  <si>
    <t>EXT033</t>
  </si>
  <si>
    <t>生産技術・製造部門</t>
  </si>
  <si>
    <t>EXT034</t>
  </si>
  <si>
    <t>品質保証・信頼性部門</t>
  </si>
  <si>
    <t>EXT035</t>
  </si>
  <si>
    <t>物流・輸送事業者（危険物輸送規制対応）</t>
  </si>
  <si>
    <t>EXT036</t>
  </si>
  <si>
    <t>リサイクル事業者・二次利用事業者</t>
  </si>
  <si>
    <t>EXT037</t>
  </si>
  <si>
    <t>保険会社・リース／フリート事業者</t>
  </si>
  <si>
    <t>EXT038</t>
  </si>
  <si>
    <t>経営／プロジェクト管理（コスト・日程）</t>
  </si>
  <si>
    <t>EXT039</t>
  </si>
  <si>
    <t>社会・地域（環境負荷・安全に関する社会的要請）</t>
  </si>
  <si>
    <t>C列 類似要求ID 抽出結果</t>
  </si>
  <si>
    <t>対象：`熱拡散防止サブシステム要求` の A列ID と C列「ステークホルダーニーズ/システム機能」。同一IDが複数グループに出る場合は、複数観点で類似していることを示します。</t>
  </si>
  <si>
    <t>類似グループID</t>
  </si>
  <si>
    <t>類似度</t>
  </si>
  <si>
    <t>類似テーマ</t>
  </si>
  <si>
    <t>該当ID（A列）</t>
  </si>
  <si>
    <t>件数</t>
  </si>
  <si>
    <t>代表的なC列記載</t>
  </si>
  <si>
    <t>判定理由・共通語</t>
  </si>
  <si>
    <t>G01</t>
  </si>
  <si>
    <t>完全一致</t>
  </si>
  <si>
    <t>デブリ・溶融金属によるブリッジ（短絡）防止</t>
  </si>
  <si>
    <t>BATs-003, BATs-004</t>
  </si>
  <si>
    <t>デブリ・溶融金属によるブリッジ（短絡）を防止する</t>
  </si>
  <si>
    <t>C列文言が完全一致</t>
  </si>
  <si>
    <t>G02</t>
  </si>
  <si>
    <t>排煙空間（余剰体積）確保による圧力上昇防止</t>
  </si>
  <si>
    <t>BATs-048, BATs-051</t>
  </si>
  <si>
    <t>G03</t>
  </si>
  <si>
    <t>高</t>
  </si>
  <si>
    <t>シール部・シール材の破綻／溶損防止</t>
  </si>
  <si>
    <t>BATs-001, BATs-017, BATs-023, BATs-025, BATs-026, BATs-027</t>
  </si>
  <si>
    <t>合わせ面からの漏煙を防止する／パックシール部温度・圧力を抑制し、シールが溶損しないこと</t>
  </si>
  <si>
    <t>シール、漏煙、溶損、破綻、耐圧、耐熱、温度・圧力の抑制が共通</t>
  </si>
  <si>
    <t>G04</t>
  </si>
  <si>
    <t>排煙口・排煙方向と点火源の分離</t>
  </si>
  <si>
    <t>BATs-019, BATs-020, BATs-021, BATs-022</t>
  </si>
  <si>
    <t>排煙口と点火源が十分に離れた配置とすること／排煙方向に点火源が存在しないレイアウトとすること</t>
  </si>
  <si>
    <t>排煙、点火源、距離、方向、流速、配置分離が共通</t>
  </si>
  <si>
    <t>G05</t>
  </si>
  <si>
    <t>排煙バルブ／呼吸膜の配置・耐圧・耐熱</t>
  </si>
  <si>
    <t>BATs-010, BATs-011, BATs-012, BATs-033, BATs-034, BATs-035, BATs-036, BATs-037</t>
  </si>
  <si>
    <t>排煙弁と呼吸膜を同一方向に配置／排煙バルブが想定内圧・想定温度に耐える</t>
  </si>
  <si>
    <t>排煙バルブ、呼吸膜、内圧、温度、配置の要求が共通</t>
  </si>
  <si>
    <t>G06</t>
  </si>
  <si>
    <t>酸素流入・酸素濃度管理による発火／自己着火防止</t>
  </si>
  <si>
    <t>BATs-010, BATs-011, BATs-061</t>
  </si>
  <si>
    <t>パック内への酸素流入によるガス発火を防止／酸素濃度を自己着火に至らない水準に管理</t>
  </si>
  <si>
    <t>酸素流入、酸素濃度、発火・自己着火抑制が共通</t>
  </si>
  <si>
    <t>G07</t>
  </si>
  <si>
    <t>セルブラスト・噴出・ラプチャ対策</t>
  </si>
  <si>
    <t>BATs-009, BATs-013, BATs-024, BATs-043, BATs-050, BATs-052, BATs-054, BATs-058, BATs-059</t>
  </si>
  <si>
    <t>セルブラストの発生・波及を抑制／安全弁以外からの噴出・ラプチャ発生を防止</t>
  </si>
  <si>
    <t>ブラスト、噴出、ラプチャ、安全弁、噴出量・噴出角度が共通</t>
  </si>
  <si>
    <t>G08</t>
  </si>
  <si>
    <t>噴出物の堆積・侵入・熱パス形成防止</t>
  </si>
  <si>
    <t>BATs-040, BATs-041, BATs-043, BATs-056</t>
  </si>
  <si>
    <t>噴出物堆積による熱パス形成を防止／保護材内部への噴出物侵入を防止</t>
  </si>
  <si>
    <t>噴出物、堆積、侵入、熱パス、局所堆積が共通</t>
  </si>
  <si>
    <t>G09</t>
  </si>
  <si>
    <t>短絡発生を防ぐ絶縁・保護構造</t>
  </si>
  <si>
    <t>BATs-003, BATs-004, BATs-029, BATs-042, BATs-044</t>
  </si>
  <si>
    <t>短絡発生を防止する絶縁・保護構造／セル間・モジュール間短絡を防ぐ</t>
  </si>
  <si>
    <t>短絡、絶縁、保護構造、リークパス防止が共通</t>
  </si>
  <si>
    <t>G10</t>
  </si>
  <si>
    <t>温度上昇抑制・耐熱・高温化防止</t>
  </si>
  <si>
    <t>BATs-014, BATs-018, BATs-027, BATs-028, BATs-030, BATs-035, BATs-036, BATs-038, BATs-047, BATs-053, BATs-060, BATs-063</t>
  </si>
  <si>
    <t>セル内電極温度上昇を抑制／排煙ガスの温度を抑制／耐熱性能を有する</t>
  </si>
  <si>
    <t>温度上昇、耐熱、高温化、自己着火、吸熱不足の防止が共通</t>
  </si>
  <si>
    <t>G11</t>
  </si>
  <si>
    <t>熱連鎖・連鎖発煙・隣接セル開弁防止</t>
  </si>
  <si>
    <t>BATs-014, BATs-015, BATs-039, BATs-045</t>
  </si>
  <si>
    <t>隣接セルが開弁しないこと／セル間・スタック間の断熱を十分に確保</t>
  </si>
  <si>
    <t>熱暴走、隣接セル、連鎖発煙、熱伝播抑制が共通</t>
  </si>
  <si>
    <t>G12</t>
  </si>
  <si>
    <t>断熱・熱抵抗・吸熱量確保</t>
  </si>
  <si>
    <t>BATs-008, BATs-039, BATs-046, BATs-047, BATs-053, BATs-057</t>
  </si>
  <si>
    <t>アッパーケースを断熱／断熱性能・熱伝導率・吸熱量を十分に確保</t>
  </si>
  <si>
    <t>断熱、熱抵抗、熱伝導率、吸熱量、断熱材固定が共通</t>
  </si>
  <si>
    <t>G13</t>
  </si>
  <si>
    <t>ケース穴開き・ケース耐熱／強度／内圧対策</t>
  </si>
  <si>
    <t>BATs-028, BATs-030, BATs-031, BATs-032, BATs-055</t>
  </si>
  <si>
    <t>ケース近傍の温度上昇を抑制／ケースが想定荷重・内圧に耐える</t>
  </si>
  <si>
    <t>ケース、穴開き、耐熱、強度、内圧、ブラスト保護が共通</t>
  </si>
  <si>
    <t>G14</t>
  </si>
  <si>
    <t>排煙ガス量・温度・流速制御</t>
  </si>
  <si>
    <t>BATs-018, BATs-038, BATs-045, BATs-049, BATs-060, BATs-062</t>
  </si>
  <si>
    <t>排煙ガス量を抑制／排煙ガスの温度を抑制／ガス流速が過度に低くならない</t>
  </si>
  <si>
    <t>排煙ガスの量、温度、流速、経路距離による制御が共通</t>
  </si>
  <si>
    <t>G15</t>
  </si>
  <si>
    <t>警報・検知・乗員室への煙侵入防止</t>
  </si>
  <si>
    <t>BATs-064, BATs-065, BATs-066</t>
  </si>
  <si>
    <t>排煙を検知する／熱事象発生から3分以内に警報作動／煙が乗員室に入らないこと</t>
  </si>
  <si>
    <t>検知、警報、警報信号、乗員室への煙侵入防止が共通</t>
  </si>
  <si>
    <t>G16</t>
  </si>
  <si>
    <t>接触維持・形状保持・剥離／破損防止</t>
  </si>
  <si>
    <t>BATs-005, BATs-006, BATs-007, BATs-057</t>
  </si>
  <si>
    <t>脱落・剥離・破損なく形状を保持／接触を維持／剥がれ・めくれを防止</t>
  </si>
  <si>
    <t>形状保持、接触維持、剥離・破損防止が共通</t>
  </si>
  <si>
    <t>C列＋D列 類似要求ID 抽出結果</t>
  </si>
  <si>
    <t>判定ルール：C列が類似していても、D列の詳細まで一致または高類似する場合だけ「同じ案件」としました。D列が空欄、または詳細要求が違うものは「関連類似」「C列のみ類似」として分けています。</t>
  </si>
  <si>
    <t>判定区分</t>
  </si>
  <si>
    <t>グループID</t>
  </si>
  <si>
    <t>C列の類似テーマ</t>
  </si>
  <si>
    <t>D列まで見た類似/差分</t>
  </si>
  <si>
    <t>案件判定・理由</t>
  </si>
  <si>
    <t>最終判断</t>
    <rPh sb="0" eb="2">
      <t>サイシュウ</t>
    </rPh>
    <rPh sb="2" eb="4">
      <t>ハンダン</t>
    </rPh>
    <phoneticPr fontId="6"/>
  </si>
  <si>
    <t>同じ案件</t>
  </si>
  <si>
    <t>CD-01</t>
  </si>
  <si>
    <t>排煙空間（余剰体積）を十分に確保し、余剰体積不足による圧力上昇を防ぐ</t>
  </si>
  <si>
    <t>両方とも「BATs-041」「45PLからのセル変化点」「アッパーとの隙」の記載が共通。BATs-048のみ「セル決定して、単セル試験が無いと見積もれない」が追加。</t>
  </si>
  <si>
    <t>C列は完全一致、D列も主要求が一致しているため同じ案件。BATs-048は追加条件あり。</t>
  </si>
  <si>
    <t>OK</t>
  </si>
  <si>
    <t>関連類似（D一部共通）</t>
  </si>
  <si>
    <t>CD-02</t>
  </si>
  <si>
    <t>BATs-003, BATs-006, BATs-029, BATs-044</t>
  </si>
  <si>
    <t>短絡・リークパスを防止する絶縁/保護構造</t>
  </si>
  <si>
    <t>BATs-003/006/029/044に「絶縁抵抗100MΩ以上」が共通。BATs-029/044はセル間・MOD間・リークパス防止の詳細が追加。</t>
  </si>
  <si>
    <t>同じ評価指標を含むが、対象範囲が異なるため同じ案件ではなく関連案件。</t>
  </si>
  <si>
    <t>分ける</t>
  </si>
  <si>
    <t>関連類似（D一致）</t>
  </si>
  <si>
    <t>CD-03</t>
  </si>
  <si>
    <t>BATs-039, BATs-047</t>
  </si>
  <si>
    <t>断熱性能・熱抵抗不足の防止</t>
  </si>
  <si>
    <t>D列はいずれも「BATs-015」。ただしC列は「セル間・スタック間断熱」と「断熱材の熱伝導率」で粒度が異なる。</t>
  </si>
  <si>
    <t>同じ上位要求/根拠を参照する関連案件。D列は一致するがC列の設計対象が異なるため同じ案件扱いは注意。</t>
  </si>
  <si>
    <t>C列のみ類似（D差分）</t>
  </si>
  <si>
    <t>CD-04</t>
  </si>
  <si>
    <t>C列は完全一致。D列はBATs-003が「絶縁抵抗100MΩ以上」、BATs-004が「活電部とGND間の絶縁材保護/耐熱要件判断」。</t>
  </si>
  <si>
    <t>C列は同一だがD列の要求内容が異なるため、同じ案件とはしない。</t>
  </si>
  <si>
    <t>C列のみ類似（D不足）</t>
  </si>
  <si>
    <t>CD-05</t>
  </si>
  <si>
    <t>酸素流入・酸素濃度を管理し、発火/自己着火を防止</t>
  </si>
  <si>
    <t>BATs-010/011はD列空欄、BATs-061もD列空欄。C列の酸素・発火抑制観点のみ類似。</t>
  </si>
  <si>
    <t>D列で同一性を確認できないため、同じ案件ではなく類似テーマ。</t>
  </si>
  <si>
    <t>CD-06</t>
  </si>
  <si>
    <t>BATs-017, BATs-023, BATs-025, BATs-026, BATs-027</t>
  </si>
  <si>
    <t>シール部・シール材の温度/圧力/耐圧/耐熱による破綻防止</t>
  </si>
  <si>
    <t>BATs-017のみD列に「温度および圧力を管理し、パック外への発煙、発火を防止」と記載。他はD列空欄。</t>
  </si>
  <si>
    <t>C列はシール破綻防止で近いが、D列までの一致は不足。</t>
  </si>
  <si>
    <t>61は10に集約</t>
  </si>
  <si>
    <t>CD-07</t>
  </si>
  <si>
    <t>排煙と点火源の距離・流速・配置分離</t>
  </si>
  <si>
    <t>D列はいずれも空欄。C列では排煙口/排煙方向/点火源/流速が共通。</t>
  </si>
  <si>
    <t>D列で同じ案件と確認できないため、排煙レイアウトの関連テーマ。</t>
  </si>
  <si>
    <t>20、21、22は19に集約</t>
  </si>
  <si>
    <t>CD-08</t>
  </si>
  <si>
    <t>BATs-033, BATs-034, BATs-035, BATs-036, BATs-037</t>
  </si>
  <si>
    <t>排煙バルブ/呼吸膜の耐圧・温度上昇・耐熱/溶損防止</t>
  </si>
  <si>
    <t>D列はいずれも空欄。C列ではバルブ・呼吸膜の圧力/温度耐性が共通。</t>
  </si>
  <si>
    <t>D列で同じ案件と確認できないため、部品耐性の関連テーマ。</t>
  </si>
  <si>
    <t>ｙ</t>
    <phoneticPr fontId="6"/>
  </si>
  <si>
    <t>CD-09</t>
  </si>
  <si>
    <t>ケース穴開き/破損を温度・内圧・強度・ブラストから防止</t>
  </si>
  <si>
    <t>D列はいずれも空欄。C列ではケース穴開きまたは保護構造が共通。</t>
  </si>
  <si>
    <t>D列で同じ案件と確認できないため、ケース保護の関連テーマ。</t>
  </si>
  <si>
    <t>関連類似（D参照含む）</t>
  </si>
  <si>
    <t>CD-10</t>
  </si>
  <si>
    <t>BATs-014, BATs-015, BATs-039</t>
  </si>
  <si>
    <t>熱暴走・隣接セル開弁・連鎖発煙の防止</t>
  </si>
  <si>
    <t>BATs-014は155℃、BATs-015は隣接セル150℃以下、BATs-039はD列でBATs-015を参照。</t>
  </si>
  <si>
    <t>熱連鎖防止の同系統。D列の数値/参照が近いが、要求の粒度が異なるため関連案件。</t>
  </si>
  <si>
    <t>14と15はわける、39は15に統合</t>
  </si>
  <si>
    <t>CD-11</t>
  </si>
  <si>
    <t>ブラスト・噴出・ラプチャ・安全弁に関する発生/波及/範囲拡大防止</t>
  </si>
  <si>
    <t>D列はいずれも空欄。C列のブラスト、噴出量、噴出角度、ラプチャ、安全弁の観点が類似。</t>
  </si>
  <si>
    <t>D列で同じ案件と確認できないため、噴出/ラプチャ系の関連テーマ。</t>
  </si>
  <si>
    <t>54と58は13に統合
52は50に統合</t>
  </si>
  <si>
    <t>C列のみ類似（D一部あり）</t>
  </si>
  <si>
    <t>CD-12</t>
  </si>
  <si>
    <t>噴出物の堆積・局所堆積・侵入を抑制</t>
  </si>
  <si>
    <t>BATs-056のみD列に「保護部材との隙を詰める」「静隙3mm以下目標」。他はD列空欄。</t>
  </si>
  <si>
    <t>C列は噴出物起因で近いが、D列までの一致は不足。</t>
  </si>
  <si>
    <t>CD-13</t>
  </si>
  <si>
    <t>BATs-018, BATs-038, BATs-045, BATs-060, BATs-062</t>
  </si>
  <si>
    <t>排煙ガスの温度・量・流速を制御し、高温化/自己着火を防止</t>
  </si>
  <si>
    <t>D列はいずれも空欄。C列で排煙ガス温度、量、流速の制御が共通。</t>
  </si>
  <si>
    <t>D列で同じ案件と確認できないため、排煙ガス制御の関連テーマ。</t>
  </si>
  <si>
    <t>18と60を38に統合</t>
  </si>
  <si>
    <t>関連類似（D差分）</t>
  </si>
  <si>
    <t>CD-14</t>
  </si>
  <si>
    <t>排煙検知・警報作動・乗員室への煙侵入防止</t>
  </si>
  <si>
    <t>BATs-064は警報継続5分、BATs-065は3分以内作動の判定条件、BATs-066はD列空欄。</t>
  </si>
  <si>
    <t>警報/乗員保護の関連案件だが、D列の詳細が異なるため同じ案件ではない。</t>
  </si>
  <si>
    <t>わける</t>
  </si>
  <si>
    <t>部品間の関係性の構造を作る</t>
    <rPh sb="0" eb="3">
      <t>ブヒンカン</t>
    </rPh>
    <rPh sb="4" eb="6">
      <t>カンケイ</t>
    </rPh>
    <rPh sb="6" eb="7">
      <t>セイ</t>
    </rPh>
    <rPh sb="8" eb="10">
      <t>コウゾウ</t>
    </rPh>
    <rPh sb="11" eb="12">
      <t>ツク</t>
    </rPh>
    <phoneticPr fontId="6"/>
  </si>
  <si>
    <t>電池パック（熱交換の関係性）</t>
    <rPh sb="0" eb="2">
      <t>デンチ</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</si>
</sst>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游ゴシック"/>
      <family val="2"/>
      <charset val="128"/>
      <scheme val="minor"/>
    </font>
    <font>
      <b/>
      <sz val="16"/>
      <color rgb="FFFFFFFF"/>
      <name val="游ゴシック"/>
      <family val="2"/>
      <charset val="128"/>
      <scheme val="minor"/>
    </font>
    <font>
      <sz val="9"/>
      <color theme="1"/>
      <name val="游ゴシック"/>
      <family val="2"/>
      <charset val="128"/>
      <scheme val="minor"/>
    </font>
    <font>
      <i/>
      <sz val="9"/>
      <color rgb="FFC00000"/>
      <name val="游ゴシック"/>
      <family val="2"/>
      <charset val="128"/>
      <scheme val="minor"/>
    </font>
    <font>
      <b/>
      <sz val="11"/>
      <color rgb="FFFFFFFF"/>
      <name val="游ゴシック"/>
      <family val="2"/>
      <charset val="128"/>
      <scheme val="minor"/>
    </font>
    <font>
      <b/>
      <sz val="11"/>
      <color rgb="FF1F4E78"/>
      <name val="游ゴシック"/>
      <family val="2"/>
      <charset val="128"/>
      <scheme val="minor"/>
    </font>
    <font>
      <sz val="6"/>
      <name val="游ゴシック"/>
      <family val="2"/>
      <charset val="128"/>
      <scheme val="minor"/>
    </font>
    <font>
      <b/>
      <sz val="9"/>
      <color rgb="FF1F4E78"/>
      <name val="游ゴシック"/>
      <family val="2"/>
      <charset val="128"/>
      <scheme val="minor"/>
    </font>
    <font>
      <b/>
      <sz val="11"/>
      <color theme="1"/>
      <name val="游ゴシック"/>
      <family val="2"/>
      <charset val="128"/>
      <scheme val="minor"/>
    </font>
    <font>
      <sz val="9"/>
      <color theme="1"/>
      <name val="游ゴシック"/>
      <family val="3"/>
      <charset val="128"/>
      <scheme val="minor"/>
    </font>
    <font>
      <b/>
      <sz val="11"/>
      <color rgb="FFFFFFFF"/>
      <name val="游ゴシック"/>
      <family val="3"/>
      <charset val="128"/>
    </font>
    <font>
      <b/>
      <sz val="16"/>
      <color rgb="FFFFFFFF"/>
      <name val="游ゴシック"/>
      <family val="3"/>
      <charset val="128"/>
    </font>
    <font>
      <sz val="16"/>
      <color theme="1"/>
      <name val="游ゴシック"/>
      <family val="2"/>
      <charset val="128"/>
      <scheme val="minor"/>
    </font>
    <font>
      <u/>
      <sz val="11"/>
      <color theme="10"/>
      <name val="游ゴシック"/>
      <family val="2"/>
      <charset val="128"/>
      <scheme val="minor"/>
    </font>
    <font>
      <b/>
      <sz val="9"/>
      <color rgb="FFFFFFFF"/>
      <name val="游ゴシック"/>
      <family val="3"/>
      <charset val="128"/>
      <scheme val="minor"/>
    </font>
    <font>
      <sz val="9"/>
      <color rgb="FF000000"/>
      <name val="游ゴシック"/>
      <family val="2"/>
      <charset val="128"/>
      <scheme val="minor"/>
    </font>
    <font>
      <sz val="9"/>
      <color rgb="FF000000"/>
      <name val="游ゴシック"/>
      <family val="3"/>
      <charset val="128"/>
      <scheme val="minor"/>
    </font>
    <font>
      <b/>
      <sz val="18"/>
      <color rgb="FFFFFFFF"/>
      <name val="游ゴシック"/>
      <family val="2"/>
      <charset val="128"/>
      <scheme val="minor"/>
    </font>
    <font>
      <i/>
      <sz val="11"/>
      <color rgb="FF666666"/>
      <name val="游ゴシック"/>
      <family val="2"/>
      <charset val="128"/>
      <scheme val="minor"/>
    </font>
    <font>
      <sz val="11"/>
      <color rgb="FF1F1F1F"/>
      <name val="游ゴシック"/>
      <family val="2"/>
      <charset val="128"/>
      <scheme val="minor"/>
    </font>
    <font>
      <b/>
      <sz val="12"/>
      <color rgb="FFFFFFFF"/>
      <name val="游ゴシック"/>
      <family val="2"/>
      <charset val="128"/>
      <scheme val="minor"/>
    </font>
    <font>
      <sz val="10"/>
      <color theme="1"/>
      <name val="游ゴシック"/>
      <family val="3"/>
      <charset val="128"/>
      <scheme val="minor"/>
    </font>
    <font>
      <sz val="11"/>
      <color rgb="FF000000"/>
      <name val="游ゴシック"/>
      <family val="2"/>
      <charset val="128"/>
      <scheme val="minor"/>
    </font>
    <font>
      <b/>
      <sz val="11"/>
      <color rgb="FFFF0000"/>
      <name val="游ゴシック"/>
      <family val="2"/>
      <charset val="128"/>
      <scheme val="minor"/>
    </font>
    <font>
      <sz val="9"/>
      <color rgb="FFC000A0"/>
      <name val="游ゴシック"/>
      <family val="2"/>
      <charset val="128"/>
      <scheme val="minor"/>
    </font>
    <font>
      <sz val="9"/>
      <color rgb="FFC000A0"/>
      <name val="游ゴシック"/>
      <family val="3"/>
      <charset val="128"/>
      <scheme val="minor"/>
    </font>
    <font>
      <b/>
      <sz val="16"/>
      <color rgb="FFFFFFFF"/>
      <name val="Meiryo UI"/>
      <family val="3"/>
      <charset val="128"/>
    </font>
    <font>
      <sz val="11"/>
      <color theme="1"/>
      <name val="Meiryo UI"/>
      <family val="3"/>
      <charset val="128"/>
    </font>
    <font>
      <i/>
      <sz val="11"/>
      <color rgb="FF666666"/>
      <name val="Meiryo UI"/>
      <family val="3"/>
      <charset val="128"/>
    </font>
    <font>
      <b/>
      <sz val="11"/>
      <color rgb="FFFFFFFF"/>
      <name val="Meiryo UI"/>
      <family val="3"/>
      <charset val="128"/>
    </font>
    <font>
      <b/>
      <sz val="11"/>
      <color rgb="FF375623"/>
      <name val="Meiryo UI"/>
      <family val="3"/>
      <charset val="128"/>
    </font>
    <font>
      <b/>
      <sz val="9"/>
      <color indexed="81"/>
      <name val="MS P ゴシック"/>
      <family val="3"/>
      <charset val="128"/>
    </font>
    <font>
      <sz val="9"/>
      <color indexed="81"/>
      <name val="MS P ゴシック"/>
      <family val="3"/>
      <charset val="128"/>
    </font>
    <font>
      <sz val="10"/>
      <color theme="1"/>
      <name val="游ゴシック"/>
      <family val="2"/>
      <charset val="128"/>
      <scheme val="minor"/>
    </font>
    <font>
      <sz val="9"/>
      <name val="游ゴシック"/>
      <family val="3"/>
      <charset val="128"/>
      <scheme val="minor"/>
    </font>
    <font>
      <b/>
      <sz val="11"/>
      <color rgb="FFFFFFFF"/>
      <name val="游ゴシック"/>
      <family val="3"/>
    </font>
    <font>
      <sz val="9"/>
      <color rgb="FF000000"/>
      <name val="游ゴシック"/>
      <family val="3"/>
    </font>
    <font>
      <sz val="9"/>
      <color rgb="FFFF0000"/>
      <name val="游ゴシック"/>
      <family val="3"/>
      <charset val="128"/>
    </font>
    <font>
      <sz val="9"/>
      <color rgb="FF000000"/>
      <name val="游ゴシック"/>
      <family val="3"/>
      <charset val="128"/>
    </font>
    <font>
      <sz val="9"/>
      <color rgb="FFFF0000"/>
      <name val="游ゴシック"/>
      <family val="3"/>
    </font>
    <font>
      <sz val="9"/>
      <color rgb="FFFF0000"/>
      <name val="游ゴシック"/>
      <family val="2"/>
      <charset val="128"/>
      <scheme val="minor"/>
    </font>
    <font>
      <sz val="9"/>
      <color rgb="FFFF0000"/>
      <name val="游ゴシック"/>
      <family val="3"/>
      <charset val="128"/>
      <scheme val="minor"/>
    </font>
    <font>
      <sz val="9"/>
      <name val="游ゴシック"/>
      <family val="3"/>
      <charset val="128"/>
    </font>
    <font>
      <sz val="9"/>
      <color theme="1"/>
      <name val="游ゴシック"/>
      <family val="2"/>
      <charset val="128"/>
    </font>
    <font>
      <sz val="9"/>
      <color rgb="FF000000"/>
      <name val="游ゴシック"/>
      <family val="3"/>
      <charset val="128"/>
    </font>
  </fonts>
  <fills count="27">
    <fill>
      <patternFill patternType="none"/>
    </fill>
    <fill>
      <patternFill patternType="gray125"/>
    </fill>
    <fill>
      <patternFill patternType="solid">
        <fgColor rgb="FF1F4E78"/>
        <bgColor indexed="64"/>
      </patternFill>
    </fill>
    <fill>
      <patternFill patternType="solid">
        <fgColor rgb="FFF2F2F2"/>
        <bgColor indexed="64"/>
      </patternFill>
    </fill>
    <fill>
      <patternFill patternType="solid">
        <fgColor rgb="FF2E75B6"/>
        <bgColor indexed="64"/>
      </patternFill>
    </fill>
    <fill>
      <patternFill patternType="solid">
        <fgColor theme="5" tint="0.79998168889431442"/>
        <bgColor indexed="64"/>
      </patternFill>
    </fill>
    <fill>
      <patternFill patternType="solid">
        <fgColor theme="0"/>
        <bgColor indexed="64"/>
      </patternFill>
    </fill>
    <fill>
      <patternFill patternType="solid">
        <fgColor rgb="FF1F4E78"/>
      </patternFill>
    </fill>
    <fill>
      <patternFill patternType="solid">
        <fgColor rgb="FFD9EAF7"/>
      </patternFill>
    </fill>
    <fill>
      <patternFill patternType="solid">
        <fgColor rgb="FFDDEBF7"/>
      </patternFill>
    </fill>
    <fill>
      <patternFill patternType="solid">
        <fgColor rgb="FFDDEBF7"/>
        <bgColor indexed="64"/>
      </patternFill>
    </fill>
    <fill>
      <patternFill patternType="solid">
        <fgColor rgb="FFFFFF00"/>
        <bgColor indexed="64"/>
      </patternFill>
    </fill>
    <fill>
      <patternFill patternType="solid">
        <fgColor rgb="FFFFF2CC"/>
        <bgColor indexed="64"/>
      </patternFill>
    </fill>
    <fill>
      <patternFill patternType="solid">
        <fgColor rgb="FFE2F0D9"/>
        <bgColor indexed="64"/>
      </patternFill>
    </fill>
    <fill>
      <patternFill patternType="solid">
        <fgColor theme="6" tint="0.39997558519241921"/>
        <bgColor indexed="64"/>
      </patternFill>
    </fill>
    <fill>
      <patternFill patternType="solid">
        <fgColor rgb="FFD9EAF7"/>
        <bgColor indexed="64"/>
      </patternFill>
    </fill>
    <fill>
      <patternFill patternType="solid">
        <fgColor rgb="FF4472C4"/>
        <bgColor indexed="64"/>
      </patternFill>
    </fill>
    <fill>
      <patternFill patternType="solid">
        <fgColor theme="0" tint="-0.249977111117893"/>
        <bgColor indexed="64"/>
      </patternFill>
    </fill>
    <fill>
      <patternFill patternType="solid">
        <fgColor rgb="FF5B9BD5"/>
        <bgColor indexed="64"/>
      </patternFill>
    </fill>
    <fill>
      <patternFill patternType="solid">
        <fgColor rgb="FFF7FBFE"/>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C0E6F5"/>
        <bgColor indexed="64"/>
      </patternFill>
    </fill>
    <fill>
      <patternFill patternType="solid">
        <fgColor theme="9" tint="0.79998168889431442"/>
        <bgColor indexed="64"/>
      </patternFill>
    </fill>
  </fills>
  <borders count="28">
    <border>
      <left/>
      <right/>
      <top/>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auto="1"/>
      </bottom>
      <diagonal/>
    </border>
    <border>
      <left style="thin">
        <color rgb="FFD9D9D9"/>
      </left>
      <right style="thin">
        <color rgb="FFD9D9D9"/>
      </right>
      <top style="thin">
        <color rgb="FFD9D9D9"/>
      </top>
      <bottom style="thin">
        <color auto="1"/>
      </bottom>
      <diagonal/>
    </border>
    <border>
      <left style="thin">
        <color rgb="FFD9D9D9"/>
      </left>
      <right/>
      <top style="thin">
        <color rgb="FFD9D9D9"/>
      </top>
      <bottom style="thin">
        <color auto="1"/>
      </bottom>
      <diagonal/>
    </border>
    <border>
      <left style="thin">
        <color rgb="FFD9D9D9"/>
      </left>
      <right style="thin">
        <color auto="1"/>
      </right>
      <top style="thin">
        <color rgb="FFD9D9D9"/>
      </top>
      <bottom style="thin">
        <color rgb="FFD9D9D9"/>
      </bottom>
      <diagonal/>
    </border>
    <border>
      <left style="thin">
        <color rgb="FFD9D9D9"/>
      </left>
      <right style="thin">
        <color auto="1"/>
      </right>
      <top style="thin">
        <color rgb="FFD9D9D9"/>
      </top>
      <bottom style="thin">
        <color auto="1"/>
      </bottom>
      <diagonal/>
    </border>
    <border>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bottom style="thin">
        <color rgb="FFD9D9D9"/>
      </bottom>
      <diagonal/>
    </border>
    <border>
      <left style="thin">
        <color rgb="FFD9D9D9"/>
      </left>
      <right style="thin">
        <color auto="1"/>
      </right>
      <top/>
      <bottom style="thin">
        <color rgb="FFD9D9D9"/>
      </bottom>
      <diagonal/>
    </border>
    <border>
      <left/>
      <right/>
      <top/>
      <bottom style="thin">
        <color rgb="FFD9D9D9"/>
      </bottom>
      <diagonal/>
    </border>
    <border diagonalDown="1">
      <left/>
      <right style="thin">
        <color rgb="FFD9D9D9"/>
      </right>
      <top style="thin">
        <color rgb="FFD9D9D9"/>
      </top>
      <bottom style="thin">
        <color rgb="FFD9D9D9"/>
      </bottom>
      <diagonal style="thin">
        <color auto="1"/>
      </diagonal>
    </border>
    <border diagonalDown="1">
      <left style="thin">
        <color rgb="FFD9D9D9"/>
      </left>
      <right style="thin">
        <color rgb="FFD9D9D9"/>
      </right>
      <top style="thin">
        <color rgb="FFD9D9D9"/>
      </top>
      <bottom style="thin">
        <color rgb="FFD9D9D9"/>
      </bottom>
      <diagonal style="thin">
        <color auto="1"/>
      </diagonal>
    </border>
    <border diagonalDown="1">
      <left style="thin">
        <color rgb="FFD9D9D9"/>
      </left>
      <right/>
      <top style="thin">
        <color rgb="FFD9D9D9"/>
      </top>
      <bottom style="thin">
        <color rgb="FFD9D9D9"/>
      </bottom>
      <diagonal style="thin">
        <color auto="1"/>
      </diagonal>
    </border>
    <border>
      <left style="thin">
        <color rgb="FFBFBFBF"/>
      </left>
      <right style="thin">
        <color rgb="FFBFBFBF"/>
      </right>
      <top style="thin">
        <color rgb="FFBFBFBF"/>
      </top>
      <bottom style="thin">
        <color rgb="FFBFBFBF"/>
      </bottom>
      <diagonal/>
    </border>
    <border>
      <left style="thin">
        <color rgb="FFB7C9D6"/>
      </left>
      <right style="thin">
        <color rgb="FFB7C9D6"/>
      </right>
      <top style="thin">
        <color rgb="FFB7C9D6"/>
      </top>
      <bottom style="thin">
        <color rgb="FFB7C9D6"/>
      </bottom>
      <diagonal/>
    </border>
    <border>
      <left style="thin">
        <color rgb="FFD9EAF7"/>
      </left>
      <right style="thin">
        <color rgb="FFD9EAF7"/>
      </right>
      <top style="thin">
        <color rgb="FFD9EAF7"/>
      </top>
      <bottom style="thin">
        <color rgb="FFD9EAF7"/>
      </bottom>
      <diagonal/>
    </border>
    <border>
      <left style="thin">
        <color rgb="FFD9EAF7"/>
      </left>
      <right style="thin">
        <color rgb="FFD9EAF7"/>
      </right>
      <top style="thin">
        <color auto="1"/>
      </top>
      <bottom style="thin">
        <color rgb="FFD9EAF7"/>
      </bottom>
      <diagonal/>
    </border>
    <border>
      <left style="thin">
        <color rgb="FFD9EAF7"/>
      </left>
      <right style="thin">
        <color rgb="FFD9EAF7"/>
      </right>
      <top style="thin">
        <color rgb="FFD9EAF7"/>
      </top>
      <bottom style="thin">
        <color auto="1"/>
      </bottom>
      <diagonal/>
    </border>
    <border>
      <left style="thin">
        <color auto="1"/>
      </left>
      <right style="thin">
        <color rgb="FFD9EAF7"/>
      </right>
      <top style="thin">
        <color auto="1"/>
      </top>
      <bottom style="thin">
        <color rgb="FFD9EAF7"/>
      </bottom>
      <diagonal/>
    </border>
    <border>
      <left style="thin">
        <color auto="1"/>
      </left>
      <right style="thin">
        <color rgb="FFD9EAF7"/>
      </right>
      <top style="thin">
        <color rgb="FFD9EAF7"/>
      </top>
      <bottom style="thin">
        <color rgb="FFD9EAF7"/>
      </bottom>
      <diagonal/>
    </border>
    <border>
      <left style="thin">
        <color auto="1"/>
      </left>
      <right style="thin">
        <color rgb="FFD9EAF7"/>
      </right>
      <top style="thin">
        <color rgb="FFD9EAF7"/>
      </top>
      <bottom style="thin">
        <color auto="1"/>
      </bottom>
      <diagonal/>
    </border>
    <border>
      <left style="thin">
        <color rgb="FFD9EAF7"/>
      </left>
      <right style="thin">
        <color auto="1"/>
      </right>
      <top style="thin">
        <color auto="1"/>
      </top>
      <bottom style="thin">
        <color rgb="FFD9EAF7"/>
      </bottom>
      <diagonal/>
    </border>
    <border>
      <left style="thin">
        <color rgb="FFD9EAF7"/>
      </left>
      <right style="thin">
        <color auto="1"/>
      </right>
      <top style="thin">
        <color rgb="FFD9EAF7"/>
      </top>
      <bottom style="thin">
        <color rgb="FFD9EAF7"/>
      </bottom>
      <diagonal/>
    </border>
    <border>
      <left style="thin">
        <color rgb="FFD9EAF7"/>
      </left>
      <right style="thin">
        <color auto="1"/>
      </right>
      <top style="thin">
        <color rgb="FFD9EAF7"/>
      </top>
      <bottom style="thin">
        <color auto="1"/>
      </bottom>
      <diagonal/>
    </border>
  </borders>
  <cellStyleXfs count="2">
    <xf numFmtId="0" fontId="0" fillId="0" borderId="0">
      <alignment vertical="center"/>
    </xf>
    <xf numFmtId="0" fontId="13" fillId="0" borderId="0" applyNumberFormat="0" applyFill="0" applyBorder="0" applyAlignment="0" applyProtection="0">
      <alignment vertical="center"/>
    </xf>
  </cellStyleXfs>
  <cellXfs count="170">
    <xf numFmtId="0" fontId="0" fillId="0" borderId="0" xfId="0">
      <alignment vertical="center"/>
    </xf>
    <xf numFmtId="0" fontId="4" fillId="4" borderId="0" xfId="0" applyFont="1" applyFill="1" applyAlignment="1">
      <alignment horizontal="center" vertical="center"/>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2" xfId="0" applyFont="1" applyBorder="1" applyAlignment="1">
      <alignment vertical="center" wrapText="1"/>
    </xf>
    <xf numFmtId="0" fontId="2" fillId="0" borderId="5" xfId="0" applyFont="1" applyBorder="1" applyAlignment="1">
      <alignment vertical="center" wrapText="1"/>
    </xf>
    <xf numFmtId="0" fontId="2" fillId="0" borderId="2" xfId="0" applyFont="1" applyBorder="1" applyAlignment="1">
      <alignment horizontal="center" vertical="center" wrapText="1"/>
    </xf>
    <xf numFmtId="0" fontId="5" fillId="0" borderId="9" xfId="0" applyFont="1" applyBorder="1" applyAlignment="1">
      <alignment horizontal="center"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9" xfId="0" applyBorder="1" applyAlignment="1">
      <alignment vertical="center" wrapText="1"/>
    </xf>
    <xf numFmtId="0" fontId="2" fillId="0" borderId="11" xfId="0" applyFont="1" applyBorder="1" applyAlignment="1">
      <alignment vertical="center" wrapText="1"/>
    </xf>
    <xf numFmtId="0" fontId="0" fillId="0" borderId="11" xfId="0" applyBorder="1" applyAlignment="1">
      <alignment horizontal="center" vertical="center" wrapText="1"/>
    </xf>
    <xf numFmtId="0" fontId="2" fillId="0" borderId="12" xfId="0" applyFont="1" applyBorder="1" applyAlignment="1">
      <alignment vertical="center" wrapText="1"/>
    </xf>
    <xf numFmtId="0" fontId="7" fillId="0" borderId="2" xfId="0" applyFont="1"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7" fillId="5" borderId="2" xfId="0" applyFont="1" applyFill="1" applyBorder="1" applyAlignment="1">
      <alignment horizontal="center" vertical="center" wrapText="1"/>
    </xf>
    <xf numFmtId="0" fontId="8" fillId="0" borderId="0" xfId="0" applyFont="1">
      <alignment vertical="center"/>
    </xf>
    <xf numFmtId="0" fontId="9" fillId="0" borderId="2" xfId="0" applyFont="1" applyBorder="1" applyAlignment="1">
      <alignment vertical="center" wrapText="1"/>
    </xf>
    <xf numFmtId="0" fontId="2" fillId="6" borderId="2" xfId="0" applyFont="1" applyFill="1" applyBorder="1" applyAlignment="1">
      <alignment vertical="center" wrapText="1"/>
    </xf>
    <xf numFmtId="0" fontId="2" fillId="0" borderId="2" xfId="0" quotePrefix="1" applyFont="1" applyBorder="1" applyAlignment="1">
      <alignment vertical="center" wrapText="1"/>
    </xf>
    <xf numFmtId="0" fontId="10" fillId="7" borderId="13" xfId="0" applyFont="1" applyFill="1" applyBorder="1" applyAlignment="1">
      <alignment horizontal="center" vertical="center" wrapText="1"/>
    </xf>
    <xf numFmtId="0" fontId="0" fillId="0" borderId="1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0" xfId="0" applyAlignment="1"/>
    <xf numFmtId="0" fontId="0" fillId="0" borderId="13" xfId="0" applyBorder="1" applyAlignment="1">
      <alignment vertical="top" wrapText="1"/>
    </xf>
    <xf numFmtId="0" fontId="0" fillId="9" borderId="13" xfId="0" applyFill="1" applyBorder="1" applyAlignment="1">
      <alignment vertical="top" wrapText="1"/>
    </xf>
    <xf numFmtId="0" fontId="0" fillId="9" borderId="0" xfId="0" applyFill="1" applyAlignment="1">
      <alignment vertical="top" wrapText="1"/>
    </xf>
    <xf numFmtId="0" fontId="2" fillId="0" borderId="2" xfId="0" applyFont="1" applyBorder="1" applyAlignment="1">
      <alignment horizontal="left" vertical="top" wrapText="1"/>
    </xf>
    <xf numFmtId="0" fontId="2" fillId="0" borderId="2" xfId="0" applyFont="1" applyBorder="1" applyAlignment="1">
      <alignment horizontal="left" vertical="center" wrapText="1"/>
    </xf>
    <xf numFmtId="0" fontId="7" fillId="6"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8" fillId="10" borderId="0" xfId="0" applyFont="1" applyFill="1">
      <alignment vertical="center"/>
    </xf>
    <xf numFmtId="0" fontId="2" fillId="11" borderId="2" xfId="0" applyFont="1" applyFill="1" applyBorder="1" applyAlignment="1">
      <alignment vertical="center" wrapText="1"/>
    </xf>
    <xf numFmtId="0" fontId="9" fillId="0" borderId="17" xfId="0" applyFont="1" applyBorder="1" applyAlignment="1">
      <alignment vertical="top" wrapText="1"/>
    </xf>
    <xf numFmtId="0" fontId="9" fillId="0" borderId="0" xfId="0" applyFont="1">
      <alignment vertical="center"/>
    </xf>
    <xf numFmtId="0" fontId="9" fillId="6" borderId="2" xfId="0" applyFont="1" applyFill="1" applyBorder="1" applyAlignment="1">
      <alignment vertical="center" wrapText="1"/>
    </xf>
    <xf numFmtId="0" fontId="9" fillId="6" borderId="2" xfId="0" quotePrefix="1" applyFont="1" applyFill="1" applyBorder="1" applyAlignment="1">
      <alignment vertical="center" wrapText="1"/>
    </xf>
    <xf numFmtId="0" fontId="9" fillId="0" borderId="0" xfId="0" applyFont="1" applyAlignment="1">
      <alignment vertical="center" wrapText="1"/>
    </xf>
    <xf numFmtId="0" fontId="15" fillId="12" borderId="2" xfId="0" applyFont="1" applyFill="1" applyBorder="1" applyAlignment="1">
      <alignment vertical="center" wrapText="1"/>
    </xf>
    <xf numFmtId="0" fontId="16" fillId="13" borderId="17" xfId="0" applyFont="1" applyFill="1" applyBorder="1" applyAlignment="1">
      <alignment vertical="top" wrapText="1"/>
    </xf>
    <xf numFmtId="0" fontId="9" fillId="5" borderId="17" xfId="0" applyFont="1" applyFill="1" applyBorder="1" applyAlignment="1">
      <alignment vertical="top" wrapText="1"/>
    </xf>
    <xf numFmtId="0" fontId="2" fillId="5" borderId="2" xfId="0" applyFont="1" applyFill="1" applyBorder="1" applyAlignment="1">
      <alignment vertical="center" wrapText="1"/>
    </xf>
    <xf numFmtId="0" fontId="0" fillId="0" borderId="0" xfId="0" applyAlignment="1">
      <alignment horizontal="center" vertical="center"/>
    </xf>
    <xf numFmtId="0" fontId="4" fillId="14" borderId="0" xfId="0" applyFont="1" applyFill="1" applyAlignment="1">
      <alignment horizontal="center" vertical="center"/>
    </xf>
    <xf numFmtId="0" fontId="4" fillId="16" borderId="18" xfId="0" applyFont="1" applyFill="1" applyBorder="1" applyAlignment="1">
      <alignment horizontal="center" vertical="center"/>
    </xf>
    <xf numFmtId="0" fontId="8" fillId="0" borderId="18" xfId="0" applyFont="1" applyBorder="1" applyAlignment="1">
      <alignment horizontal="center" vertical="center"/>
    </xf>
    <xf numFmtId="0" fontId="0" fillId="0" borderId="18" xfId="0" applyBorder="1" applyAlignment="1">
      <alignment horizontal="center" vertical="center"/>
    </xf>
    <xf numFmtId="0" fontId="0" fillId="0" borderId="0" xfId="0" applyAlignment="1">
      <alignment vertical="center" wrapText="1"/>
    </xf>
    <xf numFmtId="0" fontId="21" fillId="0" borderId="2" xfId="0" applyFont="1" applyBorder="1" applyAlignment="1">
      <alignment horizontal="left" vertical="top" wrapText="1"/>
    </xf>
    <xf numFmtId="0" fontId="15" fillId="12" borderId="2" xfId="0" applyFont="1" applyFill="1" applyBorder="1" applyAlignment="1">
      <alignment horizontal="center" vertical="center" wrapText="1"/>
    </xf>
    <xf numFmtId="0" fontId="2" fillId="0" borderId="0" xfId="0" applyFont="1" applyAlignment="1">
      <alignment vertical="center" wrapText="1"/>
    </xf>
    <xf numFmtId="0" fontId="2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left" vertical="center" wrapText="1"/>
    </xf>
    <xf numFmtId="0" fontId="24" fillId="0" borderId="2" xfId="0" applyFont="1" applyBorder="1" applyAlignment="1">
      <alignment vertical="center" wrapText="1"/>
    </xf>
    <xf numFmtId="0" fontId="25" fillId="0" borderId="2" xfId="0" applyFont="1" applyBorder="1" applyAlignment="1">
      <alignment horizontal="center" vertical="center" wrapText="1"/>
    </xf>
    <xf numFmtId="0" fontId="2" fillId="17" borderId="2" xfId="0" applyFont="1" applyFill="1" applyBorder="1" applyAlignment="1">
      <alignment vertical="center" wrapText="1"/>
    </xf>
    <xf numFmtId="0" fontId="7" fillId="17" borderId="2" xfId="0" applyFont="1" applyFill="1" applyBorder="1" applyAlignment="1">
      <alignment horizontal="center" vertical="center" wrapText="1"/>
    </xf>
    <xf numFmtId="0" fontId="9" fillId="17" borderId="0" xfId="0" applyFont="1" applyFill="1">
      <alignment vertical="center"/>
    </xf>
    <xf numFmtId="0" fontId="2" fillId="17" borderId="2" xfId="0" applyFont="1" applyFill="1" applyBorder="1" applyAlignment="1">
      <alignment horizontal="center" vertical="center" wrapText="1"/>
    </xf>
    <xf numFmtId="0" fontId="0" fillId="17" borderId="0" xfId="0" applyFill="1" applyAlignment="1">
      <alignment vertical="center" wrapText="1"/>
    </xf>
    <xf numFmtId="0" fontId="0" fillId="17" borderId="0" xfId="0" applyFill="1">
      <alignment vertical="center"/>
    </xf>
    <xf numFmtId="0" fontId="9" fillId="17" borderId="17" xfId="0" applyFont="1" applyFill="1" applyBorder="1" applyAlignment="1">
      <alignment vertical="top" wrapText="1"/>
    </xf>
    <xf numFmtId="0" fontId="9" fillId="17" borderId="0" xfId="0" applyFont="1" applyFill="1" applyAlignment="1">
      <alignment vertical="center" wrapText="1"/>
    </xf>
    <xf numFmtId="0" fontId="2" fillId="17" borderId="0" xfId="0" applyFont="1" applyFill="1" applyAlignment="1">
      <alignment horizontal="center" vertical="center" wrapText="1"/>
    </xf>
    <xf numFmtId="0" fontId="0" fillId="17" borderId="0" xfId="0" applyFill="1" applyAlignment="1">
      <alignment horizontal="center" vertical="center"/>
    </xf>
    <xf numFmtId="0" fontId="2" fillId="17" borderId="0" xfId="0" applyFont="1" applyFill="1" applyAlignment="1">
      <alignment vertical="center" wrapText="1"/>
    </xf>
    <xf numFmtId="0" fontId="16" fillId="17" borderId="17" xfId="0" applyFont="1" applyFill="1" applyBorder="1" applyAlignment="1">
      <alignment vertical="top" wrapText="1"/>
    </xf>
    <xf numFmtId="0" fontId="2" fillId="6" borderId="0" xfId="0" applyFont="1" applyFill="1" applyAlignment="1">
      <alignment vertical="center" wrapText="1"/>
    </xf>
    <xf numFmtId="0" fontId="29" fillId="18" borderId="0" xfId="0" applyFont="1" applyFill="1" applyAlignment="1">
      <alignment horizontal="center" vertical="center"/>
    </xf>
    <xf numFmtId="0" fontId="27" fillId="0" borderId="22" xfId="0" applyFont="1" applyBorder="1" applyAlignment="1">
      <alignment vertical="top" wrapText="1"/>
    </xf>
    <xf numFmtId="0" fontId="27" fillId="0" borderId="20" xfId="0" applyFont="1" applyBorder="1" applyAlignment="1">
      <alignment vertical="top" wrapText="1"/>
    </xf>
    <xf numFmtId="0" fontId="27" fillId="0" borderId="25" xfId="0" applyFont="1" applyBorder="1" applyAlignment="1">
      <alignment vertical="top" wrapText="1"/>
    </xf>
    <xf numFmtId="0" fontId="27" fillId="0" borderId="23" xfId="0" applyFont="1" applyBorder="1" applyAlignment="1">
      <alignment vertical="top" wrapText="1"/>
    </xf>
    <xf numFmtId="0" fontId="27" fillId="0" borderId="19" xfId="0" applyFont="1" applyBorder="1" applyAlignment="1">
      <alignment vertical="top" wrapText="1"/>
    </xf>
    <xf numFmtId="0" fontId="27" fillId="0" borderId="26" xfId="0" applyFont="1" applyBorder="1" applyAlignment="1">
      <alignment vertical="top" wrapText="1"/>
    </xf>
    <xf numFmtId="0" fontId="27" fillId="0" borderId="0" xfId="0" applyFont="1">
      <alignment vertical="center"/>
    </xf>
    <xf numFmtId="0" fontId="27" fillId="0" borderId="20" xfId="0" applyFont="1" applyBorder="1" applyAlignment="1">
      <alignment horizontal="center" vertical="top" wrapText="1"/>
    </xf>
    <xf numFmtId="0" fontId="27" fillId="0" borderId="19" xfId="0" applyFont="1" applyBorder="1" applyAlignment="1">
      <alignment horizontal="center" vertical="top" wrapText="1"/>
    </xf>
    <xf numFmtId="0" fontId="27" fillId="0" borderId="0" xfId="0" applyFont="1" applyAlignment="1">
      <alignment horizontal="center" vertical="center"/>
    </xf>
    <xf numFmtId="0" fontId="27" fillId="19" borderId="23" xfId="0" applyFont="1" applyFill="1" applyBorder="1" applyAlignment="1">
      <alignment vertical="top" wrapText="1"/>
    </xf>
    <xf numFmtId="0" fontId="27" fillId="19" borderId="19" xfId="0" applyFont="1" applyFill="1" applyBorder="1" applyAlignment="1">
      <alignment vertical="top" wrapText="1"/>
    </xf>
    <xf numFmtId="0" fontId="27" fillId="19" borderId="19" xfId="0" applyFont="1" applyFill="1" applyBorder="1" applyAlignment="1">
      <alignment horizontal="center" vertical="top" wrapText="1"/>
    </xf>
    <xf numFmtId="0" fontId="27" fillId="19" borderId="26" xfId="0" applyFont="1" applyFill="1" applyBorder="1" applyAlignment="1">
      <alignment vertical="top" wrapText="1"/>
    </xf>
    <xf numFmtId="0" fontId="27" fillId="19" borderId="24" xfId="0" applyFont="1" applyFill="1" applyBorder="1" applyAlignment="1">
      <alignment vertical="top" wrapText="1"/>
    </xf>
    <xf numFmtId="0" fontId="27" fillId="19" borderId="21" xfId="0" applyFont="1" applyFill="1" applyBorder="1" applyAlignment="1">
      <alignment vertical="top" wrapText="1"/>
    </xf>
    <xf numFmtId="0" fontId="27" fillId="19" borderId="21" xfId="0" applyFont="1" applyFill="1" applyBorder="1" applyAlignment="1">
      <alignment horizontal="center" vertical="top" wrapText="1"/>
    </xf>
    <xf numFmtId="0" fontId="27" fillId="19" borderId="27" xfId="0" applyFont="1" applyFill="1" applyBorder="1" applyAlignment="1">
      <alignment vertical="top" wrapText="1"/>
    </xf>
    <xf numFmtId="0" fontId="27" fillId="11" borderId="19" xfId="0" applyFont="1" applyFill="1" applyBorder="1" applyAlignment="1">
      <alignment vertical="top" wrapText="1"/>
    </xf>
    <xf numFmtId="0" fontId="27" fillId="13" borderId="20" xfId="0" applyFont="1" applyFill="1" applyBorder="1" applyAlignment="1">
      <alignment horizontal="center" vertical="top" wrapText="1"/>
    </xf>
    <xf numFmtId="0" fontId="27" fillId="13" borderId="20" xfId="0" applyFont="1" applyFill="1" applyBorder="1" applyAlignment="1">
      <alignment vertical="top" wrapText="1"/>
    </xf>
    <xf numFmtId="0" fontId="27" fillId="13" borderId="25" xfId="0" applyFont="1" applyFill="1" applyBorder="1" applyAlignment="1">
      <alignment vertical="top" wrapText="1"/>
    </xf>
    <xf numFmtId="0" fontId="30" fillId="13" borderId="22" xfId="0" applyFont="1" applyFill="1" applyBorder="1" applyAlignment="1">
      <alignment vertical="top" wrapText="1"/>
    </xf>
    <xf numFmtId="0" fontId="25" fillId="17" borderId="2" xfId="0" applyFont="1" applyFill="1" applyBorder="1" applyAlignment="1">
      <alignment horizontal="center" vertical="center" wrapText="1"/>
    </xf>
    <xf numFmtId="0" fontId="22" fillId="17" borderId="0" xfId="0" applyFont="1" applyFill="1" applyAlignment="1">
      <alignment horizontal="center" vertical="center"/>
    </xf>
    <xf numFmtId="0" fontId="15" fillId="17" borderId="2" xfId="0" applyFont="1" applyFill="1" applyBorder="1" applyAlignment="1">
      <alignment vertical="center" wrapText="1"/>
    </xf>
    <xf numFmtId="0" fontId="2" fillId="20" borderId="2" xfId="0" applyFont="1" applyFill="1" applyBorder="1" applyAlignment="1">
      <alignment vertical="center" wrapText="1"/>
    </xf>
    <xf numFmtId="0" fontId="0" fillId="20" borderId="0" xfId="0" applyFill="1">
      <alignment vertical="center"/>
    </xf>
    <xf numFmtId="0" fontId="2" fillId="20" borderId="0" xfId="0" applyFont="1" applyFill="1" applyAlignment="1">
      <alignment vertical="center" wrapText="1"/>
    </xf>
    <xf numFmtId="0" fontId="4" fillId="4" borderId="0" xfId="0" applyFont="1" applyFill="1" applyAlignment="1">
      <alignment horizontal="center" vertical="center" wrapText="1"/>
    </xf>
    <xf numFmtId="0" fontId="14" fillId="4" borderId="0" xfId="0" applyFont="1" applyFill="1" applyAlignment="1">
      <alignment horizontal="center" vertical="center" wrapText="1"/>
    </xf>
    <xf numFmtId="0" fontId="4" fillId="14" borderId="0" xfId="0" applyFont="1" applyFill="1" applyAlignment="1">
      <alignment horizontal="center" vertical="center" wrapText="1"/>
    </xf>
    <xf numFmtId="0" fontId="23" fillId="14" borderId="0" xfId="0" applyFont="1" applyFill="1" applyAlignment="1">
      <alignment horizontal="center" vertical="center" wrapText="1"/>
    </xf>
    <xf numFmtId="0" fontId="2" fillId="21" borderId="2" xfId="0" applyFont="1" applyFill="1" applyBorder="1" applyAlignment="1">
      <alignment horizontal="center" vertical="center" wrapText="1"/>
    </xf>
    <xf numFmtId="0" fontId="25" fillId="21" borderId="2" xfId="0" applyFont="1" applyFill="1" applyBorder="1" applyAlignment="1">
      <alignment horizontal="center" vertical="center" wrapText="1"/>
    </xf>
    <xf numFmtId="0" fontId="2" fillId="21" borderId="2" xfId="0" applyFont="1" applyFill="1" applyBorder="1" applyAlignment="1">
      <alignment vertical="center" wrapText="1"/>
    </xf>
    <xf numFmtId="49" fontId="0" fillId="0" borderId="0" xfId="0" applyNumberFormat="1">
      <alignment vertical="center"/>
    </xf>
    <xf numFmtId="0" fontId="0" fillId="11" borderId="0" xfId="0" applyFill="1">
      <alignment vertical="center"/>
    </xf>
    <xf numFmtId="0" fontId="7" fillId="11" borderId="2" xfId="0" applyFont="1" applyFill="1" applyBorder="1" applyAlignment="1">
      <alignment horizontal="center" vertical="center" wrapText="1"/>
    </xf>
    <xf numFmtId="0" fontId="2" fillId="22" borderId="2" xfId="0" applyFont="1" applyFill="1" applyBorder="1" applyAlignment="1">
      <alignment vertical="center" wrapText="1"/>
    </xf>
    <xf numFmtId="0" fontId="0" fillId="6" borderId="0" xfId="0" applyFill="1">
      <alignment vertical="center"/>
    </xf>
    <xf numFmtId="0" fontId="9" fillId="6" borderId="17" xfId="0" applyFont="1" applyFill="1" applyBorder="1" applyAlignment="1">
      <alignment vertical="top" wrapText="1"/>
    </xf>
    <xf numFmtId="0" fontId="9" fillId="6" borderId="0" xfId="0" applyFont="1" applyFill="1" applyAlignment="1">
      <alignment vertical="center" wrapText="1"/>
    </xf>
    <xf numFmtId="0" fontId="0" fillId="6" borderId="0" xfId="0" applyFill="1" applyAlignment="1">
      <alignment horizontal="center" vertical="center"/>
    </xf>
    <xf numFmtId="0" fontId="25" fillId="6" borderId="2" xfId="0" applyFont="1" applyFill="1" applyBorder="1" applyAlignment="1">
      <alignment horizontal="center" vertical="center" wrapText="1"/>
    </xf>
    <xf numFmtId="0" fontId="0" fillId="6" borderId="0" xfId="0" applyFill="1" applyAlignment="1">
      <alignment vertical="center" wrapText="1"/>
    </xf>
    <xf numFmtId="0" fontId="0" fillId="23" borderId="0" xfId="0" applyFill="1">
      <alignment vertical="center"/>
    </xf>
    <xf numFmtId="0" fontId="2" fillId="24" borderId="2" xfId="0" applyFont="1" applyFill="1" applyBorder="1" applyAlignment="1">
      <alignment vertical="center" wrapText="1"/>
    </xf>
    <xf numFmtId="0" fontId="35" fillId="7" borderId="13" xfId="0" applyFont="1" applyFill="1" applyBorder="1" applyAlignment="1">
      <alignment horizontal="center" vertical="center" wrapText="1"/>
    </xf>
    <xf numFmtId="0" fontId="35" fillId="7" borderId="13" xfId="0" applyFont="1" applyFill="1" applyBorder="1" applyAlignment="1">
      <alignment vertical="center" wrapText="1"/>
    </xf>
    <xf numFmtId="0" fontId="35" fillId="7" borderId="13" xfId="0" applyFont="1" applyFill="1" applyBorder="1" applyAlignment="1">
      <alignment horizontal="center" vertical="center" textRotation="255" wrapText="1"/>
    </xf>
    <xf numFmtId="0" fontId="35" fillId="7" borderId="13" xfId="0" applyFont="1" applyFill="1" applyBorder="1" applyAlignment="1">
      <alignment horizontal="center" vertical="center" textRotation="255"/>
    </xf>
    <xf numFmtId="0" fontId="0" fillId="25" borderId="0" xfId="0" applyFill="1">
      <alignment vertical="center"/>
    </xf>
    <xf numFmtId="0" fontId="2" fillId="25" borderId="2" xfId="0" applyFont="1" applyFill="1" applyBorder="1" applyAlignment="1">
      <alignment vertical="center" wrapText="1"/>
    </xf>
    <xf numFmtId="0" fontId="34" fillId="25" borderId="2" xfId="0" applyFont="1" applyFill="1" applyBorder="1" applyAlignment="1">
      <alignment vertical="center" wrapText="1"/>
    </xf>
    <xf numFmtId="0" fontId="0" fillId="25" borderId="0" xfId="0" applyFill="1" applyAlignment="1">
      <alignment vertical="center" wrapText="1"/>
    </xf>
    <xf numFmtId="0" fontId="33" fillId="25" borderId="0" xfId="0" applyFont="1" applyFill="1" applyAlignment="1">
      <alignment vertical="center" wrapText="1"/>
    </xf>
    <xf numFmtId="0" fontId="0" fillId="25" borderId="0" xfId="0" applyFill="1" applyAlignment="1">
      <alignment horizontal="left" vertical="center" wrapText="1"/>
    </xf>
    <xf numFmtId="0" fontId="7" fillId="26" borderId="2" xfId="0" applyFont="1" applyFill="1" applyBorder="1" applyAlignment="1">
      <alignment horizontal="center" vertical="center" wrapText="1"/>
    </xf>
    <xf numFmtId="0" fontId="36" fillId="0" borderId="2" xfId="0" applyFont="1" applyBorder="1" applyAlignment="1">
      <alignment vertical="center" wrapText="1"/>
    </xf>
    <xf numFmtId="0" fontId="36" fillId="0" borderId="11" xfId="0" applyFont="1" applyBorder="1" applyAlignment="1">
      <alignment vertical="center" wrapText="1"/>
    </xf>
    <xf numFmtId="0" fontId="36" fillId="0" borderId="0" xfId="0" applyFont="1" applyAlignment="1">
      <alignment vertical="center" wrapText="1"/>
    </xf>
    <xf numFmtId="0" fontId="39" fillId="0" borderId="11" xfId="0" applyFont="1" applyBorder="1" applyAlignment="1">
      <alignment vertical="center" wrapText="1"/>
    </xf>
    <xf numFmtId="0" fontId="40" fillId="0" borderId="2" xfId="0" applyFont="1" applyBorder="1" applyAlignment="1">
      <alignment vertical="center" wrapText="1"/>
    </xf>
    <xf numFmtId="0" fontId="41" fillId="0" borderId="2" xfId="0" applyFont="1" applyBorder="1" applyAlignment="1">
      <alignment vertical="center" wrapText="1"/>
    </xf>
    <xf numFmtId="0" fontId="36" fillId="0" borderId="11" xfId="0" applyFont="1" applyBorder="1" applyAlignment="1">
      <alignment vertical="top" wrapText="1"/>
    </xf>
    <xf numFmtId="0" fontId="44" fillId="0" borderId="11" xfId="0" applyFont="1" applyBorder="1" applyAlignment="1">
      <alignment vertical="center" wrapText="1"/>
    </xf>
    <xf numFmtId="0" fontId="1" fillId="2" borderId="0" xfId="0" applyFont="1" applyFill="1" applyAlignment="1">
      <alignment horizontal="center" vertical="center"/>
    </xf>
    <xf numFmtId="0" fontId="3" fillId="3" borderId="0" xfId="0" applyFont="1" applyFill="1">
      <alignment vertical="center"/>
    </xf>
    <xf numFmtId="0" fontId="4" fillId="14" borderId="13" xfId="0" applyFont="1" applyFill="1" applyBorder="1" applyAlignment="1">
      <alignment horizontal="center" vertical="center"/>
    </xf>
    <xf numFmtId="0" fontId="17" fillId="2" borderId="0" xfId="0" applyFont="1" applyFill="1">
      <alignment vertical="center"/>
    </xf>
    <xf numFmtId="0" fontId="18" fillId="0" borderId="0" xfId="0" applyFont="1">
      <alignment vertical="center"/>
    </xf>
    <xf numFmtId="0" fontId="19" fillId="15" borderId="0" xfId="0" applyFont="1" applyFill="1" applyAlignment="1">
      <alignment vertical="center" wrapText="1"/>
    </xf>
    <xf numFmtId="0" fontId="20" fillId="16" borderId="0" xfId="0" applyFont="1" applyFill="1">
      <alignment vertical="center"/>
    </xf>
    <xf numFmtId="0" fontId="11" fillId="7" borderId="0" xfId="0" applyFont="1" applyFill="1" applyAlignment="1">
      <alignment horizontal="center" vertical="center"/>
    </xf>
    <xf numFmtId="0" fontId="12" fillId="0" borderId="0" xfId="0" applyFont="1" applyAlignment="1">
      <alignment horizontal="center" vertical="center"/>
    </xf>
    <xf numFmtId="0" fontId="0" fillId="8" borderId="0" xfId="0" applyFill="1" applyAlignment="1">
      <alignment wrapText="1"/>
    </xf>
    <xf numFmtId="0" fontId="0" fillId="0" borderId="0" xfId="0" applyAlignment="1"/>
    <xf numFmtId="0" fontId="26" fillId="2" borderId="0" xfId="0" applyFont="1" applyFill="1" applyAlignment="1">
      <alignment horizontal="center" vertical="center"/>
    </xf>
    <xf numFmtId="0" fontId="27" fillId="0" borderId="0" xfId="0" applyFont="1">
      <alignment vertical="center"/>
    </xf>
    <xf numFmtId="0" fontId="28" fillId="0" borderId="0" xfId="0" applyFont="1" applyAlignment="1">
      <alignment vertical="center" wrapText="1"/>
    </xf>
    <xf numFmtId="0" fontId="27" fillId="0" borderId="0" xfId="0" applyFont="1" applyAlignment="1">
      <alignment vertical="center" wrapText="1"/>
    </xf>
  </cellXfs>
  <cellStyles count="2">
    <cellStyle name="Hyperlink" xfId="1" xr:uid="{00000000-000B-0000-0000-000008000000}"/>
    <cellStyle name="標準" xfId="0" builtinId="0"/>
  </cellStyles>
  <dxfs count="2">
    <dxf>
      <fill>
        <patternFill patternType="solid">
          <fgColor indexed="64"/>
          <bgColor rgb="FFDDEBF7"/>
        </patternFill>
      </fill>
      <alignment horizontal="general" vertical="top" textRotation="0" wrapText="1" indent="0" justifyLastLine="0" shrinkToFit="0" readingOrder="0"/>
    </dxf>
    <dxf>
      <fill>
        <patternFill patternType="solid">
          <fgColor indexed="64"/>
          <bgColor rgb="FFDDEBF7"/>
        </patternFill>
      </fill>
      <alignment horizontal="general" vertical="top" textRotation="0" wrapText="1" indent="0" justifyLastLine="0" shrinkToFit="0" readingOrder="0"/>
    </dxf>
  </dxfs>
  <tableStyles count="0" defaultTableStyle="TableStyleMedium2" defaultPivotStyle="PivotStyleLight16"/>
  <colors>
    <mruColors>
      <color rgb="FFC00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14</xdr:col>
      <xdr:colOff>277091</xdr:colOff>
      <xdr:row>40</xdr:row>
      <xdr:rowOff>71466</xdr:rowOff>
    </xdr:from>
    <xdr:to>
      <xdr:col>21</xdr:col>
      <xdr:colOff>369454</xdr:colOff>
      <xdr:row>40</xdr:row>
      <xdr:rowOff>2741075</xdr:rowOff>
    </xdr:to>
    <xdr:pic>
      <xdr:nvPicPr>
        <xdr:cNvPr id="2" name="図 1">
          <a:extLst>
            <a:ext uri="{FF2B5EF4-FFF2-40B4-BE49-F238E27FC236}">
              <a16:creationId xmlns:a16="http://schemas.microsoft.com/office/drawing/2014/main" id="{5B930C40-0E5C-795D-3E9F-1DB589F15F76}"/>
            </a:ext>
          </a:extLst>
        </xdr:cNvPr>
        <xdr:cNvPicPr>
          <a:picLocks noChangeAspect="1"/>
        </xdr:cNvPicPr>
      </xdr:nvPicPr>
      <xdr:blipFill>
        <a:blip xmlns:r="http://schemas.openxmlformats.org/officeDocument/2006/relationships" r:embed="rId1"/>
        <a:stretch>
          <a:fillRect/>
        </a:stretch>
      </xdr:blipFill>
      <xdr:spPr>
        <a:xfrm>
          <a:off x="34209182" y="11166648"/>
          <a:ext cx="4699000" cy="2673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447675</xdr:colOff>
      <xdr:row>23</xdr:row>
      <xdr:rowOff>47625</xdr:rowOff>
    </xdr:from>
    <xdr:to>
      <xdr:col>9</xdr:col>
      <xdr:colOff>542925</xdr:colOff>
      <xdr:row>31</xdr:row>
      <xdr:rowOff>158750</xdr:rowOff>
    </xdr:to>
    <xdr:sp macro="" textlink="">
      <xdr:nvSpPr>
        <xdr:cNvPr id="6" name="正方形/長方形 5">
          <a:extLst>
            <a:ext uri="{FF2B5EF4-FFF2-40B4-BE49-F238E27FC236}">
              <a16:creationId xmlns:a16="http://schemas.microsoft.com/office/drawing/2014/main" id="{763C4460-5B0C-47CA-A8B9-4AE564AB3929}"/>
            </a:ext>
          </a:extLst>
        </xdr:cNvPr>
        <xdr:cNvSpPr/>
      </xdr:nvSpPr>
      <xdr:spPr>
        <a:xfrm>
          <a:off x="447675" y="5305425"/>
          <a:ext cx="6010275" cy="193992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400051</xdr:colOff>
      <xdr:row>3</xdr:row>
      <xdr:rowOff>66675</xdr:rowOff>
    </xdr:from>
    <xdr:to>
      <xdr:col>19</xdr:col>
      <xdr:colOff>78836</xdr:colOff>
      <xdr:row>17</xdr:row>
      <xdr:rowOff>6350</xdr:rowOff>
    </xdr:to>
    <xdr:pic>
      <xdr:nvPicPr>
        <xdr:cNvPr id="2" name="図 1">
          <a:extLst>
            <a:ext uri="{FF2B5EF4-FFF2-40B4-BE49-F238E27FC236}">
              <a16:creationId xmlns:a16="http://schemas.microsoft.com/office/drawing/2014/main" id="{E49F69F8-206F-5394-212E-6F68237DC1AE}"/>
            </a:ext>
          </a:extLst>
        </xdr:cNvPr>
        <xdr:cNvPicPr>
          <a:picLocks noChangeAspect="1"/>
        </xdr:cNvPicPr>
      </xdr:nvPicPr>
      <xdr:blipFill>
        <a:blip xmlns:r="http://schemas.openxmlformats.org/officeDocument/2006/relationships" r:embed="rId1"/>
        <a:stretch>
          <a:fillRect/>
        </a:stretch>
      </xdr:blipFill>
      <xdr:spPr>
        <a:xfrm>
          <a:off x="400051" y="752475"/>
          <a:ext cx="12166060" cy="3143250"/>
        </a:xfrm>
        <a:prstGeom prst="rect">
          <a:avLst/>
        </a:prstGeom>
        <a:ln>
          <a:solidFill>
            <a:sysClr val="windowText" lastClr="000000"/>
          </a:solidFill>
        </a:ln>
      </xdr:spPr>
    </xdr:pic>
    <xdr:clientData/>
  </xdr:twoCellAnchor>
  <xdr:twoCellAnchor>
    <xdr:from>
      <xdr:col>15</xdr:col>
      <xdr:colOff>180976</xdr:colOff>
      <xdr:row>13</xdr:row>
      <xdr:rowOff>161925</xdr:rowOff>
    </xdr:from>
    <xdr:to>
      <xdr:col>17</xdr:col>
      <xdr:colOff>314326</xdr:colOff>
      <xdr:row>15</xdr:row>
      <xdr:rowOff>114300</xdr:rowOff>
    </xdr:to>
    <xdr:sp macro="" textlink="">
      <xdr:nvSpPr>
        <xdr:cNvPr id="3" name="正方形/長方形 2">
          <a:extLst>
            <a:ext uri="{FF2B5EF4-FFF2-40B4-BE49-F238E27FC236}">
              <a16:creationId xmlns:a16="http://schemas.microsoft.com/office/drawing/2014/main" id="{F8DF24A2-72B2-968D-48D3-478A12630786}"/>
            </a:ext>
          </a:extLst>
        </xdr:cNvPr>
        <xdr:cNvSpPr/>
      </xdr:nvSpPr>
      <xdr:spPr>
        <a:xfrm>
          <a:off x="10039351" y="3133725"/>
          <a:ext cx="1447800" cy="40957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漏れなく抽出したい</a:t>
          </a:r>
        </a:p>
      </xdr:txBody>
    </xdr:sp>
    <xdr:clientData/>
  </xdr:twoCellAnchor>
  <xdr:twoCellAnchor>
    <xdr:from>
      <xdr:col>0</xdr:col>
      <xdr:colOff>549275</xdr:colOff>
      <xdr:row>23</xdr:row>
      <xdr:rowOff>215901</xdr:rowOff>
    </xdr:from>
    <xdr:to>
      <xdr:col>2</xdr:col>
      <xdr:colOff>206375</xdr:colOff>
      <xdr:row>26</xdr:row>
      <xdr:rowOff>76200</xdr:rowOff>
    </xdr:to>
    <xdr:sp macro="" textlink="">
      <xdr:nvSpPr>
        <xdr:cNvPr id="4" name="正方形/長方形 3">
          <a:extLst>
            <a:ext uri="{FF2B5EF4-FFF2-40B4-BE49-F238E27FC236}">
              <a16:creationId xmlns:a16="http://schemas.microsoft.com/office/drawing/2014/main" id="{F0591FFC-6B55-95A8-3964-1D0FADBFAC1B}"/>
            </a:ext>
          </a:extLst>
        </xdr:cNvPr>
        <xdr:cNvSpPr/>
      </xdr:nvSpPr>
      <xdr:spPr>
        <a:xfrm>
          <a:off x="549275" y="5473701"/>
          <a:ext cx="971550" cy="546099"/>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セル</a:t>
          </a:r>
        </a:p>
      </xdr:txBody>
    </xdr:sp>
    <xdr:clientData/>
  </xdr:twoCellAnchor>
  <xdr:twoCellAnchor>
    <xdr:from>
      <xdr:col>3</xdr:col>
      <xdr:colOff>66675</xdr:colOff>
      <xdr:row>23</xdr:row>
      <xdr:rowOff>190501</xdr:rowOff>
    </xdr:from>
    <xdr:to>
      <xdr:col>5</xdr:col>
      <xdr:colOff>66675</xdr:colOff>
      <xdr:row>26</xdr:row>
      <xdr:rowOff>73025</xdr:rowOff>
    </xdr:to>
    <xdr:sp macro="" textlink="">
      <xdr:nvSpPr>
        <xdr:cNvPr id="5" name="正方形/長方形 4">
          <a:extLst>
            <a:ext uri="{FF2B5EF4-FFF2-40B4-BE49-F238E27FC236}">
              <a16:creationId xmlns:a16="http://schemas.microsoft.com/office/drawing/2014/main" id="{72E46F1C-4868-4546-95BE-A61B6288CAC8}"/>
            </a:ext>
          </a:extLst>
        </xdr:cNvPr>
        <xdr:cNvSpPr/>
      </xdr:nvSpPr>
      <xdr:spPr>
        <a:xfrm>
          <a:off x="2038350" y="5448301"/>
          <a:ext cx="1314450" cy="56832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バスバー</a:t>
          </a:r>
        </a:p>
      </xdr:txBody>
    </xdr:sp>
    <xdr:clientData/>
  </xdr:twoCellAnchor>
  <xdr:twoCellAnchor>
    <xdr:from>
      <xdr:col>5</xdr:col>
      <xdr:colOff>552450</xdr:colOff>
      <xdr:row>28</xdr:row>
      <xdr:rowOff>57150</xdr:rowOff>
    </xdr:from>
    <xdr:to>
      <xdr:col>7</xdr:col>
      <xdr:colOff>273050</xdr:colOff>
      <xdr:row>30</xdr:row>
      <xdr:rowOff>219075</xdr:rowOff>
    </xdr:to>
    <xdr:sp macro="" textlink="">
      <xdr:nvSpPr>
        <xdr:cNvPr id="18" name="正方形/長方形 17">
          <a:extLst>
            <a:ext uri="{FF2B5EF4-FFF2-40B4-BE49-F238E27FC236}">
              <a16:creationId xmlns:a16="http://schemas.microsoft.com/office/drawing/2014/main" id="{2A639772-3FAB-4943-B5D6-EC1852206773}"/>
            </a:ext>
          </a:extLst>
        </xdr:cNvPr>
        <xdr:cNvSpPr/>
      </xdr:nvSpPr>
      <xdr:spPr>
        <a:xfrm>
          <a:off x="3838575" y="6457950"/>
          <a:ext cx="1035050" cy="61912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アッパー断熱</a:t>
          </a:r>
        </a:p>
      </xdr:txBody>
    </xdr:sp>
    <xdr:clientData/>
  </xdr:twoCellAnchor>
  <xdr:twoCellAnchor>
    <xdr:from>
      <xdr:col>8</xdr:col>
      <xdr:colOff>73025</xdr:colOff>
      <xdr:row>28</xdr:row>
      <xdr:rowOff>53975</xdr:rowOff>
    </xdr:from>
    <xdr:to>
      <xdr:col>9</xdr:col>
      <xdr:colOff>457200</xdr:colOff>
      <xdr:row>30</xdr:row>
      <xdr:rowOff>215900</xdr:rowOff>
    </xdr:to>
    <xdr:sp macro="" textlink="">
      <xdr:nvSpPr>
        <xdr:cNvPr id="20" name="正方形/長方形 19">
          <a:extLst>
            <a:ext uri="{FF2B5EF4-FFF2-40B4-BE49-F238E27FC236}">
              <a16:creationId xmlns:a16="http://schemas.microsoft.com/office/drawing/2014/main" id="{8ED3451D-4769-46A7-BD79-8E508205C391}"/>
            </a:ext>
          </a:extLst>
        </xdr:cNvPr>
        <xdr:cNvSpPr/>
      </xdr:nvSpPr>
      <xdr:spPr>
        <a:xfrm>
          <a:off x="5330825" y="6454775"/>
          <a:ext cx="1041400" cy="61912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排煙バルブ</a:t>
          </a:r>
        </a:p>
      </xdr:txBody>
    </xdr:sp>
    <xdr:clientData/>
  </xdr:twoCellAnchor>
  <xdr:twoCellAnchor>
    <xdr:from>
      <xdr:col>3</xdr:col>
      <xdr:colOff>304800</xdr:colOff>
      <xdr:row>28</xdr:row>
      <xdr:rowOff>73025</xdr:rowOff>
    </xdr:from>
    <xdr:to>
      <xdr:col>5</xdr:col>
      <xdr:colOff>28575</xdr:colOff>
      <xdr:row>31</xdr:row>
      <xdr:rowOff>9525</xdr:rowOff>
    </xdr:to>
    <xdr:sp macro="" textlink="">
      <xdr:nvSpPr>
        <xdr:cNvPr id="21" name="正方形/長方形 20">
          <a:extLst>
            <a:ext uri="{FF2B5EF4-FFF2-40B4-BE49-F238E27FC236}">
              <a16:creationId xmlns:a16="http://schemas.microsoft.com/office/drawing/2014/main" id="{D6124FCE-CBE7-4025-A638-5253A205E17E}"/>
            </a:ext>
          </a:extLst>
        </xdr:cNvPr>
        <xdr:cNvSpPr/>
      </xdr:nvSpPr>
      <xdr:spPr>
        <a:xfrm>
          <a:off x="2276475" y="6473825"/>
          <a:ext cx="1038225" cy="6223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絶縁カバー</a:t>
          </a:r>
        </a:p>
      </xdr:txBody>
    </xdr:sp>
    <xdr:clientData/>
  </xdr:twoCellAnchor>
  <xdr:twoCellAnchor editAs="oneCell">
    <xdr:from>
      <xdr:col>12</xdr:col>
      <xdr:colOff>85725</xdr:colOff>
      <xdr:row>18</xdr:row>
      <xdr:rowOff>47626</xdr:rowOff>
    </xdr:from>
    <xdr:to>
      <xdr:col>22</xdr:col>
      <xdr:colOff>143916</xdr:colOff>
      <xdr:row>27</xdr:row>
      <xdr:rowOff>1</xdr:rowOff>
    </xdr:to>
    <xdr:pic>
      <xdr:nvPicPr>
        <xdr:cNvPr id="22" name="図 21">
          <a:extLst>
            <a:ext uri="{FF2B5EF4-FFF2-40B4-BE49-F238E27FC236}">
              <a16:creationId xmlns:a16="http://schemas.microsoft.com/office/drawing/2014/main" id="{78BE873E-3E09-1BD4-C7D3-A556797F92AD}"/>
            </a:ext>
          </a:extLst>
        </xdr:cNvPr>
        <xdr:cNvPicPr>
          <a:picLocks noChangeAspect="1"/>
        </xdr:cNvPicPr>
      </xdr:nvPicPr>
      <xdr:blipFill>
        <a:blip xmlns:r="http://schemas.openxmlformats.org/officeDocument/2006/relationships" r:embed="rId2"/>
        <a:stretch>
          <a:fillRect/>
        </a:stretch>
      </xdr:blipFill>
      <xdr:spPr>
        <a:xfrm>
          <a:off x="7972425" y="4162426"/>
          <a:ext cx="6630441" cy="2009775"/>
        </a:xfrm>
        <a:prstGeom prst="rect">
          <a:avLst/>
        </a:prstGeom>
      </xdr:spPr>
    </xdr:pic>
    <xdr:clientData/>
  </xdr:twoCellAnchor>
  <xdr:twoCellAnchor editAs="oneCell">
    <xdr:from>
      <xdr:col>12</xdr:col>
      <xdr:colOff>1</xdr:colOff>
      <xdr:row>28</xdr:row>
      <xdr:rowOff>1</xdr:rowOff>
    </xdr:from>
    <xdr:to>
      <xdr:col>16</xdr:col>
      <xdr:colOff>95251</xdr:colOff>
      <xdr:row>31</xdr:row>
      <xdr:rowOff>205803</xdr:rowOff>
    </xdr:to>
    <xdr:pic>
      <xdr:nvPicPr>
        <xdr:cNvPr id="23" name="図 22">
          <a:extLst>
            <a:ext uri="{FF2B5EF4-FFF2-40B4-BE49-F238E27FC236}">
              <a16:creationId xmlns:a16="http://schemas.microsoft.com/office/drawing/2014/main" id="{B4E7004C-651B-0A8B-AB42-C6DE05B450E6}"/>
            </a:ext>
          </a:extLst>
        </xdr:cNvPr>
        <xdr:cNvPicPr>
          <a:picLocks noChangeAspect="1"/>
        </xdr:cNvPicPr>
      </xdr:nvPicPr>
      <xdr:blipFill>
        <a:blip xmlns:r="http://schemas.openxmlformats.org/officeDocument/2006/relationships" r:embed="rId3"/>
        <a:stretch>
          <a:fillRect/>
        </a:stretch>
      </xdr:blipFill>
      <xdr:spPr>
        <a:xfrm>
          <a:off x="7886701" y="6400801"/>
          <a:ext cx="2724150" cy="891602"/>
        </a:xfrm>
        <a:prstGeom prst="rect">
          <a:avLst/>
        </a:prstGeom>
      </xdr:spPr>
    </xdr:pic>
    <xdr:clientData/>
  </xdr:twoCellAnchor>
  <xdr:twoCellAnchor editAs="oneCell">
    <xdr:from>
      <xdr:col>16</xdr:col>
      <xdr:colOff>266700</xdr:colOff>
      <xdr:row>27</xdr:row>
      <xdr:rowOff>187325</xdr:rowOff>
    </xdr:from>
    <xdr:to>
      <xdr:col>22</xdr:col>
      <xdr:colOff>430690</xdr:colOff>
      <xdr:row>40</xdr:row>
      <xdr:rowOff>187325</xdr:rowOff>
    </xdr:to>
    <xdr:pic>
      <xdr:nvPicPr>
        <xdr:cNvPr id="24" name="図 23">
          <a:extLst>
            <a:ext uri="{FF2B5EF4-FFF2-40B4-BE49-F238E27FC236}">
              <a16:creationId xmlns:a16="http://schemas.microsoft.com/office/drawing/2014/main" id="{2F20CDA8-2CFB-E08F-CB6A-3E22E31F7545}"/>
            </a:ext>
          </a:extLst>
        </xdr:cNvPr>
        <xdr:cNvPicPr>
          <a:picLocks noChangeAspect="1"/>
        </xdr:cNvPicPr>
      </xdr:nvPicPr>
      <xdr:blipFill>
        <a:blip xmlns:r="http://schemas.openxmlformats.org/officeDocument/2006/relationships" r:embed="rId4"/>
        <a:stretch>
          <a:fillRect/>
        </a:stretch>
      </xdr:blipFill>
      <xdr:spPr>
        <a:xfrm>
          <a:off x="10782300" y="6359525"/>
          <a:ext cx="4107340" cy="2971800"/>
        </a:xfrm>
        <a:prstGeom prst="rect">
          <a:avLst/>
        </a:prstGeom>
      </xdr:spPr>
    </xdr:pic>
    <xdr:clientData/>
  </xdr:twoCellAnchor>
  <xdr:twoCellAnchor>
    <xdr:from>
      <xdr:col>16</xdr:col>
      <xdr:colOff>247651</xdr:colOff>
      <xdr:row>31</xdr:row>
      <xdr:rowOff>47626</xdr:rowOff>
    </xdr:from>
    <xdr:to>
      <xdr:col>19</xdr:col>
      <xdr:colOff>390526</xdr:colOff>
      <xdr:row>33</xdr:row>
      <xdr:rowOff>9526</xdr:rowOff>
    </xdr:to>
    <xdr:sp macro="" textlink="">
      <xdr:nvSpPr>
        <xdr:cNvPr id="25" name="フレーム 24">
          <a:extLst>
            <a:ext uri="{FF2B5EF4-FFF2-40B4-BE49-F238E27FC236}">
              <a16:creationId xmlns:a16="http://schemas.microsoft.com/office/drawing/2014/main" id="{B828AD4B-0D42-98A0-1CAA-2180200EE469}"/>
            </a:ext>
          </a:extLst>
        </xdr:cNvPr>
        <xdr:cNvSpPr/>
      </xdr:nvSpPr>
      <xdr:spPr>
        <a:xfrm>
          <a:off x="10763251" y="7134226"/>
          <a:ext cx="2114550" cy="419100"/>
        </a:xfrm>
        <a:prstGeom prst="fram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13</xdr:col>
      <xdr:colOff>158750</xdr:colOff>
      <xdr:row>32</xdr:row>
      <xdr:rowOff>6350</xdr:rowOff>
    </xdr:from>
    <xdr:to>
      <xdr:col>16</xdr:col>
      <xdr:colOff>228600</xdr:colOff>
      <xdr:row>34</xdr:row>
      <xdr:rowOff>171450</xdr:rowOff>
    </xdr:to>
    <xdr:sp macro="" textlink="">
      <xdr:nvSpPr>
        <xdr:cNvPr id="26" name="正方形/長方形 25">
          <a:extLst>
            <a:ext uri="{FF2B5EF4-FFF2-40B4-BE49-F238E27FC236}">
              <a16:creationId xmlns:a16="http://schemas.microsoft.com/office/drawing/2014/main" id="{6D515D58-3BE7-4CEC-9442-BEC171B33CA3}"/>
            </a:ext>
          </a:extLst>
        </xdr:cNvPr>
        <xdr:cNvSpPr/>
      </xdr:nvSpPr>
      <xdr:spPr>
        <a:xfrm>
          <a:off x="8702675" y="7321550"/>
          <a:ext cx="2041525" cy="6223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名前に関係性を個別につけることができる</a:t>
          </a:r>
        </a:p>
      </xdr:txBody>
    </xdr:sp>
    <xdr:clientData/>
  </xdr:twoCellAnchor>
</xdr:wsDr>
</file>

<file path=xl/persons/person.xml><?xml version="1.0" encoding="utf-8"?>
<personList xmlns="http://schemas.microsoft.com/office/spreadsheetml/2018/threadedcomments" xmlns:x="http://schemas.openxmlformats.org/spreadsheetml/2006/main">
  <person displayName="Ohira, Yuki/大平 雄貴" id="{C1AC7ECB-0F09-4F48-BD81-C68370320535}" userId="S::1584550@tmc.twfr.toyota.co.jp::7fb1d431-e79c-4207-a358-b63efcd54fd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F1451A-49DB-4252-BA07-3C6195638244}" name="tbl_correlation_list" displayName="tbl_correlation_list" ref="A1:H24">
  <autoFilter ref="A1:H24" xr:uid="{00000000-0009-0000-0100-000001000000}"/>
  <tableColumns count="8">
    <tableColumn id="1" xr3:uid="{C00FD6FD-47E5-4DBC-A8D2-CF05B61C5CA8}" name="RelationID"/>
    <tableColumn id="2" xr3:uid="{AE4AE167-99F8-47FE-B8D6-2365FA90EB90}" name="From要求ID"/>
    <tableColumn id="3" xr3:uid="{18CB393A-6987-4E1D-B22C-F4F661EE89F1}" name="To要求ID"/>
    <tableColumn id="4" xr3:uid="{A29A55AC-93C4-4683-B486-98FD5C9730EF}" name="相関性記号"/>
    <tableColumn id="5" xr3:uid="{7668F39A-6319-4C5B-89DF-66229AC03E7D}" name="関係種別"/>
    <tableColumn id="6" xr3:uid="{731E94BE-3BED-47E3-A055-B158C54D462B}" name="方向性"/>
    <tableColumn id="7" xr3:uid="{E9F3D7C4-C8E0-424F-B01D-AFE72A60907F}" name="根拠/出典"/>
    <tableColumn id="8" xr3:uid="{58C7F448-B7B5-47C3-944F-4B02CB059087}" name="備考"/>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C04B94-484A-4964-8DC2-0725479DB4E3}" name="tbl_other_system_impact" displayName="tbl_other_system_impact" ref="A3:L65">
  <autoFilter ref="A3:L65" xr:uid="{00000000-0009-0000-0100-000002000000}"/>
  <tableColumns count="12">
    <tableColumn id="1" xr3:uid="{C19F8A31-2501-4386-9B0C-8CFBEF672023}" name="影響ID"/>
    <tableColumn id="2" xr3:uid="{9005D478-C202-4E72-B222-D92577683022}" name="管理ID"/>
    <tableColumn id="3" xr3:uid="{FD8F5520-618E-41C4-8DE3-0AC1C2D0C1F4}" name="From要求ID">
      <calculatedColumnFormula>_xlfn.LET(_xlpm.d,_xlfn.XLOOKUP(B4,システム要求!$A$4:$A$113,システム要求!$D$4:$D$113,""),_xlpm.m,_xlfn.XLOOKUP(B4,システム要求!$A$4:$A$113,システム要求!$C$4:$C$113,""),IF(_xlpm.d&lt;&gt;"",IFERROR(_xlfn.TEXTBEFORE(_xlpm.d,"："),IFERROR(_xlfn.TEXTBEFORE(_xlpm.d,":"),_xlpm.d)),TRIM(B4&amp;" "&amp;_xlpm.m)))</calculatedColumnFormula>
    </tableColumn>
    <tableColumn id="4" xr3:uid="{1C7F184E-A308-4170-A179-1BCFAB994360}" name="From 要求名/説明"/>
    <tableColumn id="5" xr3:uid="{C612A87E-8B80-45E2-B7F7-7342403F9062}" name="To 影響先システム"/>
    <tableColumn id="11" xr3:uid="{F94099CD-427B-47C0-B14D-8DB5C3891922}" name="To 影響先システム2" dataDxfId="1"/>
    <tableColumn id="12" xr3:uid="{FDD232E3-0A07-42DD-B48B-33F73B2CF322}" name="To 影響先システム3" dataDxfId="0"/>
    <tableColumn id="6" xr3:uid="{A0AE27CB-17FF-44CD-A630-948E41A5ACD3}" name="影響先要求名"/>
    <tableColumn id="7" xr3:uid="{ECB0AACD-81A3-440B-9E05-FD74C2367D65}" name="影響種別(+/-/その他)"/>
    <tableColumn id="8" xr3:uid="{0C46C923-70D6-4D4F-9EC0-AAA20D32F168}" name="影響方向"/>
    <tableColumn id="9" xr3:uid="{D9E1BD01-5B08-4D48-B35A-801F58D0C097}" name="根拠/出典"/>
    <tableColumn id="10" xr3:uid="{3967AE9B-2AD1-4996-982E-99061ACC10E2}" name="備考"/>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18" dT="2026-08-02T22:47:23.92" personId="{C1AC7ECB-0F09-4F48-BD81-C68370320535}" id="{E74D4C3C-F280-4F1D-972E-D44E73B25A63}">
    <text xml:space="preserve">黄色塗は関連要素のため精査必要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39004-2F11-4DF5-90AD-9215119CDCA3}">
  <dimension ref="A1:N113"/>
  <sheetViews>
    <sheetView showGridLines="0" tabSelected="1" topLeftCell="I1" zoomScale="85" zoomScaleNormal="85" workbookViewId="0">
      <pane ySplit="3" topLeftCell="A12" activePane="bottomLeft" state="frozen"/>
      <selection pane="bottomLeft" activeCell="A13" sqref="A13:N13"/>
    </sheetView>
  </sheetViews>
  <sheetFormatPr defaultRowHeight="18"/>
  <cols>
    <col min="1" max="1" width="10" customWidth="1"/>
    <col min="2" max="2" width="35.58203125" customWidth="1"/>
    <col min="3" max="3" width="35.58203125" hidden="1" customWidth="1"/>
    <col min="4" max="4" width="48" customWidth="1"/>
    <col min="5" max="5" width="56.83203125" customWidth="1"/>
    <col min="6" max="6" width="12.75" customWidth="1"/>
    <col min="7" max="7" width="9.08203125" customWidth="1"/>
    <col min="8" max="8" width="74.08203125" customWidth="1"/>
    <col min="9" max="9" width="91.75" customWidth="1"/>
    <col min="10" max="10" width="33.33203125" hidden="1" customWidth="1"/>
    <col min="11" max="11" width="13.33203125" hidden="1" customWidth="1"/>
    <col min="12" max="12" width="28.58203125" customWidth="1"/>
    <col min="13" max="13" width="42.5" customWidth="1"/>
    <col min="14" max="14" width="59.5" customWidth="1"/>
  </cols>
  <sheetData>
    <row r="1" spans="1:14" ht="30" customHeight="1">
      <c r="A1" s="155" t="s">
        <v>0</v>
      </c>
      <c r="B1" s="155"/>
      <c r="C1" s="155"/>
      <c r="D1" s="155"/>
      <c r="E1" s="155"/>
      <c r="F1" s="155"/>
      <c r="G1" s="155"/>
      <c r="H1" s="155"/>
      <c r="I1" s="155"/>
      <c r="J1" s="155"/>
      <c r="K1" s="155"/>
      <c r="L1" s="155"/>
      <c r="M1" s="155"/>
      <c r="N1" s="155"/>
    </row>
    <row r="2" spans="1:14">
      <c r="A2" s="156" t="s">
        <v>1</v>
      </c>
      <c r="B2" s="156"/>
      <c r="C2" s="156"/>
      <c r="D2" s="156"/>
      <c r="E2" s="156"/>
      <c r="F2" s="156"/>
      <c r="G2" s="156"/>
      <c r="H2" s="156"/>
      <c r="I2" s="156"/>
      <c r="J2" s="156"/>
      <c r="K2" s="156"/>
      <c r="L2" s="156"/>
      <c r="M2" s="156"/>
      <c r="N2" s="156"/>
    </row>
    <row r="3" spans="1:14" ht="24" customHeight="1">
      <c r="A3" s="1" t="s">
        <v>2</v>
      </c>
      <c r="B3" s="1" t="s">
        <v>3</v>
      </c>
      <c r="C3" s="1" t="s">
        <v>4</v>
      </c>
      <c r="D3" s="1" t="s">
        <v>5</v>
      </c>
      <c r="E3" s="1" t="s">
        <v>6</v>
      </c>
      <c r="F3" s="1" t="s">
        <v>7</v>
      </c>
      <c r="G3" s="1" t="s">
        <v>8</v>
      </c>
      <c r="H3" s="1" t="s">
        <v>9</v>
      </c>
      <c r="I3" s="1" t="s">
        <v>10</v>
      </c>
      <c r="J3" s="1" t="s">
        <v>11</v>
      </c>
      <c r="K3" s="1" t="s">
        <v>12</v>
      </c>
      <c r="L3" s="1" t="s">
        <v>13</v>
      </c>
      <c r="M3" s="1" t="s">
        <v>14</v>
      </c>
      <c r="N3" s="1" t="s">
        <v>15</v>
      </c>
    </row>
    <row r="4" spans="1:14" ht="30">
      <c r="A4" s="24" t="str">
        <f>IF($B4="","","BAT-"&amp;TEXT(COUNTIF($B$4:$B4,"?*"),"000"))</f>
        <v>BAT-001</v>
      </c>
      <c r="B4" s="14" t="s">
        <v>16</v>
      </c>
      <c r="C4" s="14" t="s">
        <v>17</v>
      </c>
      <c r="D4" s="14" t="s">
        <v>18</v>
      </c>
      <c r="E4" s="14"/>
      <c r="F4" s="14"/>
      <c r="G4" s="16"/>
      <c r="H4" s="16"/>
      <c r="I4" s="14"/>
      <c r="J4" s="14"/>
      <c r="K4" s="14"/>
      <c r="L4" s="14"/>
      <c r="M4" s="14"/>
      <c r="N4" s="14" t="s">
        <v>19</v>
      </c>
    </row>
    <row r="5" spans="1:14">
      <c r="A5" s="24" t="str">
        <f>IF($B5="","","BAT-"&amp;TEXT(COUNTIF($B$4:$B5,"?*"),"000"))</f>
        <v>BAT-002</v>
      </c>
      <c r="B5" s="14" t="s">
        <v>16</v>
      </c>
      <c r="C5" s="14" t="s">
        <v>20</v>
      </c>
      <c r="D5" s="14" t="s">
        <v>21</v>
      </c>
      <c r="E5" s="14"/>
      <c r="F5" s="14"/>
      <c r="G5" s="16"/>
      <c r="H5" s="16"/>
      <c r="I5" s="14"/>
      <c r="J5" s="14"/>
      <c r="K5" s="14"/>
      <c r="L5" s="14"/>
      <c r="M5" s="14"/>
      <c r="N5" s="14" t="s">
        <v>22</v>
      </c>
    </row>
    <row r="6" spans="1:14">
      <c r="A6" s="24" t="str">
        <f>IF($B6="","","BAT-"&amp;TEXT(COUNTIF($B$4:$B6,"?*"),"000"))</f>
        <v>BAT-003</v>
      </c>
      <c r="B6" s="14" t="s">
        <v>16</v>
      </c>
      <c r="C6" s="14" t="s">
        <v>20</v>
      </c>
      <c r="D6" s="14" t="s">
        <v>23</v>
      </c>
      <c r="E6" s="14"/>
      <c r="F6" s="14"/>
      <c r="G6" s="16"/>
      <c r="H6" s="16"/>
      <c r="I6" s="14"/>
      <c r="J6" s="14"/>
      <c r="K6" s="14"/>
      <c r="L6" s="14"/>
      <c r="M6" s="14"/>
      <c r="N6" s="14"/>
    </row>
    <row r="7" spans="1:14">
      <c r="A7" s="24" t="str">
        <f>IF($B7="","","BAT-"&amp;TEXT(COUNTIF($B$4:$B7,"?*"),"000"))</f>
        <v>BAT-004</v>
      </c>
      <c r="B7" s="14" t="s">
        <v>16</v>
      </c>
      <c r="C7" s="14" t="s">
        <v>20</v>
      </c>
      <c r="D7" s="14" t="s">
        <v>24</v>
      </c>
      <c r="E7" s="14"/>
      <c r="F7" s="14"/>
      <c r="G7" s="16"/>
      <c r="H7" s="16"/>
      <c r="I7" s="14"/>
      <c r="J7" s="14"/>
      <c r="K7" s="14"/>
      <c r="L7" s="14"/>
      <c r="M7" s="14"/>
      <c r="N7" s="14"/>
    </row>
    <row r="8" spans="1:14">
      <c r="A8" s="24" t="str">
        <f>IF($B8="","","BAT-"&amp;TEXT(COUNTIF($B$4:$B8,"?*"),"000"))</f>
        <v>BAT-005</v>
      </c>
      <c r="B8" s="14" t="s">
        <v>16</v>
      </c>
      <c r="C8" s="14" t="s">
        <v>20</v>
      </c>
      <c r="D8" s="14" t="s">
        <v>25</v>
      </c>
      <c r="E8" s="14"/>
      <c r="F8" s="14"/>
      <c r="G8" s="16"/>
      <c r="H8" s="16"/>
      <c r="I8" s="14"/>
      <c r="J8" s="14"/>
      <c r="K8" s="14"/>
      <c r="L8" s="14"/>
      <c r="M8" s="14"/>
      <c r="N8" s="14"/>
    </row>
    <row r="9" spans="1:14">
      <c r="A9" s="24" t="str">
        <f>IF($B9="","","BAT-"&amp;TEXT(COUNTIF($B$4:$B9,"?*"),"000"))</f>
        <v>BAT-006</v>
      </c>
      <c r="B9" s="14" t="s">
        <v>16</v>
      </c>
      <c r="C9" s="14" t="s">
        <v>20</v>
      </c>
      <c r="D9" s="14" t="s">
        <v>26</v>
      </c>
      <c r="E9" s="14"/>
      <c r="F9" s="14"/>
      <c r="G9" s="16"/>
      <c r="H9" s="16"/>
      <c r="I9" s="14"/>
      <c r="J9" s="14"/>
      <c r="K9" s="14"/>
      <c r="L9" s="14"/>
      <c r="M9" s="14"/>
      <c r="N9" s="14"/>
    </row>
    <row r="10" spans="1:14" ht="138" customHeight="1">
      <c r="A10" s="146" t="s">
        <v>27</v>
      </c>
      <c r="B10" s="14" t="s">
        <v>16</v>
      </c>
      <c r="C10" s="14" t="s">
        <v>28</v>
      </c>
      <c r="D10" s="14" t="s">
        <v>29</v>
      </c>
      <c r="E10" s="14" t="s">
        <v>30</v>
      </c>
      <c r="F10" s="14"/>
      <c r="G10" s="16"/>
      <c r="H10" s="147" t="s">
        <v>31</v>
      </c>
      <c r="I10" s="147" t="s">
        <v>32</v>
      </c>
      <c r="J10" s="14"/>
      <c r="K10" s="14"/>
      <c r="L10" s="14"/>
      <c r="M10" s="147" t="s">
        <v>33</v>
      </c>
      <c r="N10" s="147" t="s">
        <v>34</v>
      </c>
    </row>
    <row r="11" spans="1:14" ht="185.15" customHeight="1">
      <c r="A11" s="146" t="s">
        <v>35</v>
      </c>
      <c r="B11" s="14" t="s">
        <v>16</v>
      </c>
      <c r="C11" s="14" t="s">
        <v>36</v>
      </c>
      <c r="D11" s="14" t="s">
        <v>37</v>
      </c>
      <c r="E11" s="14" t="s">
        <v>38</v>
      </c>
      <c r="F11" s="14"/>
      <c r="G11" s="16"/>
      <c r="H11" s="153" t="s">
        <v>39</v>
      </c>
      <c r="I11" s="148" t="s">
        <v>40</v>
      </c>
      <c r="J11" s="14"/>
      <c r="K11" s="14"/>
      <c r="L11" s="14"/>
      <c r="M11" s="150" t="s">
        <v>41</v>
      </c>
      <c r="N11" s="148" t="s">
        <v>42</v>
      </c>
    </row>
    <row r="12" spans="1:14" ht="160" customHeight="1">
      <c r="A12" s="146" t="s">
        <v>43</v>
      </c>
      <c r="B12" s="14" t="s">
        <v>16</v>
      </c>
      <c r="C12" s="14" t="s">
        <v>28</v>
      </c>
      <c r="D12" s="14" t="s">
        <v>44</v>
      </c>
      <c r="E12" s="14" t="s">
        <v>45</v>
      </c>
      <c r="F12" s="14"/>
      <c r="G12" s="16"/>
      <c r="H12" s="148" t="s">
        <v>46</v>
      </c>
      <c r="I12" s="148" t="s">
        <v>47</v>
      </c>
      <c r="J12" s="14"/>
      <c r="K12" s="14"/>
      <c r="L12" s="14"/>
      <c r="M12" s="148" t="s">
        <v>48</v>
      </c>
      <c r="N12" s="148" t="s">
        <v>49</v>
      </c>
    </row>
    <row r="13" spans="1:14" ht="191.15" customHeight="1">
      <c r="A13" s="146" t="s">
        <v>50</v>
      </c>
      <c r="B13" s="14" t="s">
        <v>16</v>
      </c>
      <c r="C13" s="14" t="s">
        <v>28</v>
      </c>
      <c r="D13" s="14" t="s">
        <v>51</v>
      </c>
      <c r="E13" s="14" t="s">
        <v>52</v>
      </c>
      <c r="F13" s="14"/>
      <c r="G13" s="16"/>
      <c r="H13" s="154" t="s">
        <v>53</v>
      </c>
      <c r="I13" s="148" t="s">
        <v>54</v>
      </c>
      <c r="J13" s="14"/>
      <c r="K13" s="14"/>
      <c r="L13" s="14"/>
      <c r="M13" s="148" t="s">
        <v>55</v>
      </c>
      <c r="N13" s="148" t="s">
        <v>56</v>
      </c>
    </row>
    <row r="14" spans="1:14" ht="208" customHeight="1">
      <c r="A14" s="146" t="s">
        <v>57</v>
      </c>
      <c r="B14" s="14" t="s">
        <v>16</v>
      </c>
      <c r="C14" s="14" t="s">
        <v>28</v>
      </c>
      <c r="D14" s="14" t="s">
        <v>58</v>
      </c>
      <c r="E14" s="14" t="s">
        <v>59</v>
      </c>
      <c r="F14" s="14"/>
      <c r="G14" s="16"/>
      <c r="H14" s="148" t="s">
        <v>60</v>
      </c>
      <c r="I14" s="148" t="s">
        <v>61</v>
      </c>
      <c r="J14" s="14"/>
      <c r="K14" s="14"/>
      <c r="L14" s="14"/>
      <c r="M14" s="148" t="s">
        <v>48</v>
      </c>
      <c r="N14" s="148" t="s">
        <v>62</v>
      </c>
    </row>
    <row r="15" spans="1:14" ht="146.15" customHeight="1">
      <c r="A15" s="146" t="s">
        <v>63</v>
      </c>
      <c r="B15" s="14" t="s">
        <v>16</v>
      </c>
      <c r="C15" s="14" t="s">
        <v>36</v>
      </c>
      <c r="D15" s="14" t="s">
        <v>64</v>
      </c>
      <c r="E15" s="14" t="s">
        <v>65</v>
      </c>
      <c r="F15" s="14"/>
      <c r="G15" s="16"/>
      <c r="H15" s="148" t="s">
        <v>60</v>
      </c>
      <c r="I15" s="148" t="s">
        <v>61</v>
      </c>
      <c r="J15" s="14"/>
      <c r="K15" s="14"/>
      <c r="L15" s="14"/>
      <c r="M15" s="150" t="s">
        <v>66</v>
      </c>
      <c r="N15" s="148" t="s">
        <v>67</v>
      </c>
    </row>
    <row r="16" spans="1:14" ht="155.15" customHeight="1">
      <c r="A16" s="146" t="str">
        <f>IF($B16="","","BAT-"&amp;TEXT(COUNTIF($B$4:$B16,"?*"),"000"))</f>
        <v>BAT-013</v>
      </c>
      <c r="B16" s="14" t="s">
        <v>16</v>
      </c>
      <c r="C16" s="14" t="s">
        <v>36</v>
      </c>
      <c r="D16" s="14" t="s">
        <v>68</v>
      </c>
      <c r="E16" s="14" t="s">
        <v>69</v>
      </c>
      <c r="F16" s="14"/>
      <c r="G16" s="16"/>
      <c r="H16" s="148" t="s">
        <v>60</v>
      </c>
      <c r="I16" s="148" t="s">
        <v>61</v>
      </c>
      <c r="J16" s="14"/>
      <c r="K16" s="14"/>
      <c r="L16" s="14"/>
      <c r="M16" s="150" t="s">
        <v>70</v>
      </c>
      <c r="N16" s="148" t="s">
        <v>71</v>
      </c>
    </row>
    <row r="17" spans="1:14" ht="155.15" customHeight="1">
      <c r="A17" s="146" t="str">
        <f>IF($B17="","","BAT-"&amp;TEXT(COUNTIF($B$4:$B17,"?*"),"000"))</f>
        <v>BAT-014</v>
      </c>
      <c r="B17" s="14" t="s">
        <v>16</v>
      </c>
      <c r="C17" s="14"/>
      <c r="D17" s="151" t="s">
        <v>72</v>
      </c>
      <c r="E17" s="14" t="s">
        <v>73</v>
      </c>
      <c r="F17" s="14"/>
      <c r="G17" s="16"/>
      <c r="H17" s="148" t="s">
        <v>60</v>
      </c>
      <c r="I17" s="148" t="s">
        <v>61</v>
      </c>
      <c r="J17" s="14"/>
      <c r="K17" s="14"/>
      <c r="L17" s="14"/>
      <c r="M17" s="150" t="s">
        <v>74</v>
      </c>
      <c r="N17" s="148" t="s">
        <v>75</v>
      </c>
    </row>
    <row r="18" spans="1:14" ht="371.15" customHeight="1">
      <c r="A18" s="146" t="str">
        <f>IF($B18="","","BAT-"&amp;TEXT(COUNTIF($B$4:$B18,"?*"),"000"))</f>
        <v>BAT-015</v>
      </c>
      <c r="B18" s="14" t="s">
        <v>16</v>
      </c>
      <c r="C18" s="14" t="s">
        <v>36</v>
      </c>
      <c r="D18" s="14" t="s">
        <v>76</v>
      </c>
      <c r="E18" s="14" t="s">
        <v>77</v>
      </c>
      <c r="F18" s="14"/>
      <c r="G18" s="16"/>
      <c r="H18" s="149" t="s">
        <v>78</v>
      </c>
      <c r="I18" s="148" t="s">
        <v>79</v>
      </c>
      <c r="J18" s="14"/>
      <c r="K18" s="14"/>
      <c r="L18" s="14"/>
      <c r="M18" s="148" t="s">
        <v>80</v>
      </c>
      <c r="N18" s="148" t="s">
        <v>81</v>
      </c>
    </row>
    <row r="19" spans="1:14" ht="134.15" customHeight="1">
      <c r="A19" s="146" t="str">
        <f>IF($B19="","","BAT-"&amp;TEXT(COUNTIF($B$4:$B19,"?*"),"000"))</f>
        <v>BAT-016</v>
      </c>
      <c r="B19" s="14" t="s">
        <v>16</v>
      </c>
      <c r="C19" s="14"/>
      <c r="D19" s="151" t="s">
        <v>82</v>
      </c>
      <c r="E19" s="14" t="s">
        <v>83</v>
      </c>
      <c r="F19" s="14"/>
      <c r="G19" s="16"/>
      <c r="H19" s="45" t="s">
        <v>84</v>
      </c>
      <c r="I19" s="148" t="s">
        <v>85</v>
      </c>
      <c r="J19" s="14"/>
      <c r="K19" s="14"/>
      <c r="L19" s="14"/>
      <c r="M19" s="150"/>
      <c r="N19" s="148" t="s">
        <v>86</v>
      </c>
    </row>
    <row r="20" spans="1:14" ht="121.5" customHeight="1">
      <c r="A20" s="146" t="str">
        <f>IF($B20="","","BAT-"&amp;TEXT(COUNTIF($B$4:$B20,"?*"),"000"))</f>
        <v>BAT-017</v>
      </c>
      <c r="B20" s="14" t="s">
        <v>16</v>
      </c>
      <c r="C20" s="14"/>
      <c r="D20" s="152" t="s">
        <v>87</v>
      </c>
      <c r="E20" s="14" t="s">
        <v>88</v>
      </c>
      <c r="F20" s="14"/>
      <c r="G20" s="16"/>
      <c r="H20" s="44" t="s">
        <v>89</v>
      </c>
      <c r="I20" s="148" t="s">
        <v>90</v>
      </c>
      <c r="J20" s="14"/>
      <c r="K20" s="14"/>
      <c r="L20" s="14"/>
      <c r="M20" s="148"/>
      <c r="N20" s="148" t="s">
        <v>91</v>
      </c>
    </row>
    <row r="21" spans="1:14">
      <c r="A21" s="24" t="str">
        <f>IF($B21="","","BAT-"&amp;TEXT(COUNTIF($B$4:$B21,"?*"),"000"))</f>
        <v>BAT-018</v>
      </c>
      <c r="B21" s="14" t="s">
        <v>92</v>
      </c>
      <c r="C21" s="14" t="s">
        <v>93</v>
      </c>
      <c r="D21" s="14"/>
      <c r="E21" s="14"/>
      <c r="F21" s="14"/>
      <c r="G21" s="16"/>
      <c r="H21" s="16"/>
      <c r="I21" s="14"/>
      <c r="J21" s="14"/>
      <c r="K21" s="14"/>
      <c r="L21" s="14"/>
      <c r="M21" s="14"/>
      <c r="N21" s="14" t="s">
        <v>22</v>
      </c>
    </row>
    <row r="22" spans="1:14">
      <c r="A22" s="24" t="str">
        <f>IF($B22="","","BAT-"&amp;TEXT(COUNTIF($B$4:$B22,"?*"),"000"))</f>
        <v>BAT-019</v>
      </c>
      <c r="B22" s="14" t="s">
        <v>92</v>
      </c>
      <c r="C22" s="14" t="s">
        <v>94</v>
      </c>
      <c r="D22" s="14" t="s">
        <v>95</v>
      </c>
      <c r="E22" s="14"/>
      <c r="F22" s="14"/>
      <c r="G22" s="16"/>
      <c r="H22" s="16"/>
      <c r="I22" s="14"/>
      <c r="J22" s="14"/>
      <c r="K22" s="14"/>
      <c r="L22" s="14"/>
      <c r="M22" s="14"/>
      <c r="N22" s="14"/>
    </row>
    <row r="23" spans="1:14">
      <c r="A23" s="24" t="str">
        <f>IF($B23="","","BAT-"&amp;TEXT(COUNTIF($B$4:$B23,"?*"),"000"))</f>
        <v>BAT-020</v>
      </c>
      <c r="B23" s="14" t="s">
        <v>92</v>
      </c>
      <c r="C23" s="14" t="s">
        <v>94</v>
      </c>
      <c r="D23" s="14" t="s">
        <v>96</v>
      </c>
      <c r="E23" s="14"/>
      <c r="F23" s="14"/>
      <c r="G23" s="16"/>
      <c r="H23" s="16"/>
      <c r="I23" s="14"/>
      <c r="J23" s="14"/>
      <c r="K23" s="14"/>
      <c r="L23" s="14"/>
      <c r="M23" s="14"/>
      <c r="N23" s="14"/>
    </row>
    <row r="24" spans="1:14">
      <c r="A24" s="24" t="str">
        <f>IF($B24="","","BAT-"&amp;TEXT(COUNTIF($B$4:$B24,"?*"),"000"))</f>
        <v>BAT-021</v>
      </c>
      <c r="B24" s="14" t="s">
        <v>92</v>
      </c>
      <c r="C24" s="14" t="s">
        <v>94</v>
      </c>
      <c r="D24" s="14" t="s">
        <v>97</v>
      </c>
      <c r="E24" s="14"/>
      <c r="F24" s="14"/>
      <c r="G24" s="16"/>
      <c r="H24" s="16"/>
      <c r="I24" s="14"/>
      <c r="J24" s="14"/>
      <c r="K24" s="14"/>
      <c r="L24" s="14"/>
      <c r="M24" s="14"/>
      <c r="N24" s="14"/>
    </row>
    <row r="25" spans="1:14" ht="30">
      <c r="A25" s="46" t="str">
        <f>IF($B25="","","BAT-"&amp;TEXT(COUNTIF($B$4:$B25,"?*"),"000"))</f>
        <v>BAT-022</v>
      </c>
      <c r="B25" s="14" t="s">
        <v>98</v>
      </c>
      <c r="C25" s="14" t="s">
        <v>17</v>
      </c>
      <c r="D25" s="14" t="s">
        <v>99</v>
      </c>
      <c r="E25" s="14"/>
      <c r="F25" s="14"/>
      <c r="G25" s="16"/>
      <c r="H25" s="16"/>
      <c r="I25" s="14"/>
      <c r="J25" s="14"/>
      <c r="K25" s="14"/>
      <c r="L25" s="14"/>
      <c r="M25" s="14"/>
      <c r="N25" s="14" t="s">
        <v>100</v>
      </c>
    </row>
    <row r="26" spans="1:14" ht="30">
      <c r="A26" s="46" t="str">
        <f>IF($B26="","","BAT-"&amp;TEXT(COUNTIF($B$4:$B26,"?*"),"000"))</f>
        <v>BAT-023</v>
      </c>
      <c r="B26" s="14" t="s">
        <v>98</v>
      </c>
      <c r="C26" s="14" t="s">
        <v>101</v>
      </c>
      <c r="D26" s="14" t="s">
        <v>102</v>
      </c>
      <c r="E26" s="14"/>
      <c r="F26" s="14"/>
      <c r="G26" s="16"/>
      <c r="H26" s="16"/>
      <c r="I26" s="14"/>
      <c r="J26" s="14"/>
      <c r="K26" s="14"/>
      <c r="L26" s="14"/>
      <c r="M26" s="14"/>
      <c r="N26" s="14"/>
    </row>
    <row r="27" spans="1:14">
      <c r="A27" s="46" t="str">
        <f>IF($B27="","","BAT-"&amp;TEXT(COUNTIF($B$4:$B27,"?*"),"000"))</f>
        <v>BAT-024</v>
      </c>
      <c r="B27" s="14" t="s">
        <v>98</v>
      </c>
      <c r="C27" s="14" t="s">
        <v>101</v>
      </c>
      <c r="D27" s="14" t="s">
        <v>103</v>
      </c>
      <c r="E27" s="14"/>
      <c r="F27" s="14"/>
      <c r="G27" s="16"/>
      <c r="H27" s="16"/>
      <c r="I27" s="14"/>
      <c r="J27" s="14"/>
      <c r="K27" s="14"/>
      <c r="L27" s="14"/>
      <c r="M27" s="14"/>
      <c r="N27" s="14"/>
    </row>
    <row r="28" spans="1:14">
      <c r="A28" s="46" t="str">
        <f>IF($B28="","","BAT-"&amp;TEXT(COUNTIF($B$4:$B28,"?*"),"000"))</f>
        <v>BAT-025</v>
      </c>
      <c r="B28" s="14" t="s">
        <v>104</v>
      </c>
      <c r="C28" s="14" t="s">
        <v>101</v>
      </c>
      <c r="D28" s="14" t="s">
        <v>105</v>
      </c>
      <c r="E28" s="14"/>
      <c r="F28" s="14"/>
      <c r="G28" s="16"/>
      <c r="J28" s="14"/>
      <c r="K28" s="14"/>
      <c r="L28" s="14"/>
      <c r="M28" s="14"/>
      <c r="N28" s="14" t="s">
        <v>22</v>
      </c>
    </row>
    <row r="29" spans="1:14">
      <c r="A29" s="46" t="str">
        <f>IF($B29="","","BAT-"&amp;TEXT(COUNTIF($B$4:$B29,"?*"),"000"))</f>
        <v>BAT-026</v>
      </c>
      <c r="B29" s="14" t="s">
        <v>104</v>
      </c>
      <c r="C29" s="14" t="s">
        <v>101</v>
      </c>
      <c r="D29" s="14" t="s">
        <v>106</v>
      </c>
      <c r="E29" s="14"/>
      <c r="F29" s="14"/>
      <c r="G29" s="16"/>
      <c r="H29" s="16"/>
      <c r="I29" s="14"/>
      <c r="J29" s="14"/>
      <c r="K29" s="14"/>
      <c r="L29" s="14"/>
      <c r="M29" s="14"/>
      <c r="N29" s="14"/>
    </row>
    <row r="30" spans="1:14">
      <c r="A30" s="46" t="str">
        <f>IF($B30="","","BAT-"&amp;TEXT(COUNTIF($B$4:$B30,"?*"),"000"))</f>
        <v>BAT-027</v>
      </c>
      <c r="B30" s="14" t="s">
        <v>104</v>
      </c>
      <c r="C30" s="14" t="s">
        <v>101</v>
      </c>
      <c r="D30" s="14" t="s">
        <v>107</v>
      </c>
      <c r="E30" s="14"/>
      <c r="F30" s="14"/>
      <c r="G30" s="16"/>
      <c r="H30" s="16"/>
      <c r="I30" s="14"/>
      <c r="J30" s="14"/>
      <c r="K30" s="14"/>
      <c r="L30" s="14"/>
      <c r="M30" s="14"/>
      <c r="N30" s="14"/>
    </row>
    <row r="31" spans="1:14" ht="30">
      <c r="A31" s="46" t="str">
        <f>IF($B31="","","BAT-"&amp;TEXT(COUNTIF($B$4:$B31,"?*"),"000"))</f>
        <v>BAT-028</v>
      </c>
      <c r="B31" s="14" t="s">
        <v>108</v>
      </c>
      <c r="C31" s="14" t="s">
        <v>109</v>
      </c>
      <c r="D31" s="14"/>
      <c r="E31" s="14"/>
      <c r="F31" s="14"/>
      <c r="G31" s="16"/>
      <c r="H31" s="16" t="s">
        <v>110</v>
      </c>
      <c r="I31" s="14"/>
      <c r="J31" s="14"/>
      <c r="K31" s="14"/>
      <c r="L31" s="14"/>
      <c r="M31" s="14"/>
      <c r="N31" s="14" t="s">
        <v>111</v>
      </c>
    </row>
    <row r="32" spans="1:14">
      <c r="A32" s="46" t="str">
        <f>IF($B32="","","BAT-"&amp;TEXT(COUNTIF($B$4:$B32,"?*"),"000"))</f>
        <v>BAT-029</v>
      </c>
      <c r="B32" s="14" t="s">
        <v>108</v>
      </c>
      <c r="C32" s="14" t="s">
        <v>112</v>
      </c>
      <c r="D32" s="14"/>
      <c r="E32" s="14"/>
      <c r="F32" s="14"/>
      <c r="G32" s="16"/>
      <c r="H32" s="16"/>
      <c r="I32" s="14"/>
      <c r="J32" s="14"/>
      <c r="K32" s="14"/>
      <c r="L32" s="14"/>
      <c r="M32" s="14"/>
      <c r="N32" s="14"/>
    </row>
    <row r="33" spans="1:14">
      <c r="A33" s="46" t="str">
        <f>IF($B33="","","BAT-"&amp;TEXT(COUNTIF($B$4:$B33,"?*"),"000"))</f>
        <v>BAT-030</v>
      </c>
      <c r="B33" s="14" t="s">
        <v>108</v>
      </c>
      <c r="C33" s="14" t="s">
        <v>101</v>
      </c>
      <c r="D33" s="14" t="s">
        <v>113</v>
      </c>
      <c r="E33" s="14"/>
      <c r="F33" s="14"/>
      <c r="G33" s="16"/>
      <c r="H33" s="16" t="s">
        <v>114</v>
      </c>
      <c r="I33" s="14"/>
      <c r="J33" s="14"/>
      <c r="K33" s="14"/>
      <c r="L33" s="14"/>
      <c r="M33" s="14"/>
      <c r="N33" s="14"/>
    </row>
    <row r="34" spans="1:14" ht="191.5" customHeight="1">
      <c r="A34" s="28" t="str">
        <f>IF($B34="","","BAT-"&amp;TEXT(COUNTIF($B$4:$B34,"?*"),"000"))</f>
        <v>BAT-031</v>
      </c>
      <c r="B34" s="14" t="s">
        <v>115</v>
      </c>
      <c r="C34" s="14" t="s">
        <v>116</v>
      </c>
      <c r="D34" s="31" t="s">
        <v>117</v>
      </c>
      <c r="E34" s="31" t="s">
        <v>118</v>
      </c>
      <c r="F34" s="31" t="s">
        <v>119</v>
      </c>
      <c r="G34" s="47"/>
      <c r="H34" s="48" t="s">
        <v>120</v>
      </c>
      <c r="I34" s="31" t="s">
        <v>121</v>
      </c>
      <c r="J34" s="31" t="s">
        <v>122</v>
      </c>
      <c r="K34" s="14"/>
      <c r="L34" s="14"/>
      <c r="M34" s="30"/>
      <c r="N34" s="14" t="s">
        <v>123</v>
      </c>
    </row>
    <row r="35" spans="1:14" ht="75.650000000000006" customHeight="1">
      <c r="A35" s="28" t="str">
        <f>IF($B35="","","BAT-"&amp;TEXT(COUNTIF($B$4:$B35,"?*"),"000"))</f>
        <v>BAT-032</v>
      </c>
      <c r="B35" s="14" t="s">
        <v>115</v>
      </c>
      <c r="C35" s="14"/>
      <c r="D35" s="31" t="s">
        <v>117</v>
      </c>
      <c r="E35" s="31" t="s">
        <v>118</v>
      </c>
      <c r="F35" s="31"/>
      <c r="G35" s="47"/>
      <c r="H35" s="48" t="s">
        <v>124</v>
      </c>
      <c r="I35" s="31" t="s">
        <v>125</v>
      </c>
      <c r="J35" s="31" t="s">
        <v>122</v>
      </c>
      <c r="K35" s="14"/>
      <c r="L35" s="14"/>
      <c r="M35" s="30"/>
      <c r="N35" s="14"/>
    </row>
    <row r="36" spans="1:14" ht="68.5" hidden="1" customHeight="1">
      <c r="A36" s="28" t="str">
        <f>IF($B36="","","BAT-"&amp;TEXT(COUNTIF($B$4:$B36,"?*"),"000"))</f>
        <v>BAT-033</v>
      </c>
      <c r="B36" s="14" t="s">
        <v>115</v>
      </c>
      <c r="C36" s="14"/>
      <c r="D36" s="31" t="s">
        <v>117</v>
      </c>
      <c r="E36" s="31" t="s">
        <v>118</v>
      </c>
      <c r="F36" s="31"/>
      <c r="G36" s="47"/>
      <c r="H36" s="48" t="s">
        <v>124</v>
      </c>
      <c r="I36" s="31" t="s">
        <v>126</v>
      </c>
      <c r="J36" s="31" t="s">
        <v>122</v>
      </c>
      <c r="K36" s="14"/>
      <c r="L36" s="14"/>
      <c r="M36" s="30"/>
      <c r="N36" s="14"/>
    </row>
    <row r="37" spans="1:14" ht="72.650000000000006" hidden="1" customHeight="1">
      <c r="A37" s="28" t="str">
        <f>IF($B37="","","BAT-"&amp;TEXT(COUNTIF($B$4:$B37,"?*"),"000"))</f>
        <v>BAT-034</v>
      </c>
      <c r="B37" s="14" t="s">
        <v>115</v>
      </c>
      <c r="C37" s="14"/>
      <c r="D37" s="31" t="s">
        <v>117</v>
      </c>
      <c r="E37" s="31" t="s">
        <v>118</v>
      </c>
      <c r="F37" s="31"/>
      <c r="G37" s="47"/>
      <c r="H37" s="48" t="s">
        <v>124</v>
      </c>
      <c r="I37" s="31" t="s">
        <v>127</v>
      </c>
      <c r="J37" s="31" t="s">
        <v>122</v>
      </c>
      <c r="K37" s="14"/>
      <c r="L37" s="14"/>
      <c r="M37" s="30"/>
      <c r="N37" s="14"/>
    </row>
    <row r="38" spans="1:14" ht="252.65" customHeight="1">
      <c r="A38" s="28" t="str">
        <f>IF($B38="","","BAT-"&amp;TEXT(COUNTIF($B$4:$B38,"?*"),"000"))</f>
        <v>BAT-035</v>
      </c>
      <c r="B38" s="14" t="s">
        <v>115</v>
      </c>
      <c r="C38" s="14" t="s">
        <v>116</v>
      </c>
      <c r="D38" s="14" t="s">
        <v>128</v>
      </c>
      <c r="E38" s="14" t="s">
        <v>129</v>
      </c>
      <c r="F38" s="14"/>
      <c r="G38" s="16"/>
      <c r="H38" s="45" t="s">
        <v>130</v>
      </c>
      <c r="I38" s="31" t="s">
        <v>131</v>
      </c>
      <c r="J38" s="31" t="s">
        <v>122</v>
      </c>
      <c r="K38" s="14"/>
      <c r="L38" s="14"/>
      <c r="M38" s="30"/>
      <c r="N38" s="14" t="s">
        <v>132</v>
      </c>
    </row>
    <row r="39" spans="1:14" ht="60">
      <c r="A39" s="28" t="str">
        <f>IF($B39="","","BAT-"&amp;TEXT(COUNTIF($B$4:$B39,"?*"),"000"))</f>
        <v>BAT-036</v>
      </c>
      <c r="B39" s="14" t="s">
        <v>115</v>
      </c>
      <c r="C39" s="14" t="s">
        <v>116</v>
      </c>
      <c r="D39" s="14" t="s">
        <v>128</v>
      </c>
      <c r="E39" s="14" t="s">
        <v>129</v>
      </c>
      <c r="F39" s="14"/>
      <c r="G39" s="16"/>
      <c r="H39" s="48" t="s">
        <v>124</v>
      </c>
      <c r="I39" s="31" t="s">
        <v>133</v>
      </c>
      <c r="J39" s="31"/>
      <c r="K39" s="14"/>
      <c r="L39" s="14"/>
      <c r="M39" s="30"/>
      <c r="N39" s="14" t="s">
        <v>134</v>
      </c>
    </row>
    <row r="40" spans="1:14" ht="27" customHeight="1">
      <c r="A40" s="28" t="str">
        <f>IF($B40="","","BAT-"&amp;TEXT(COUNTIF($B$4:$B40,"?*"),"000"))</f>
        <v>BAT-037</v>
      </c>
      <c r="B40" s="14" t="s">
        <v>115</v>
      </c>
      <c r="C40" s="14" t="s">
        <v>116</v>
      </c>
      <c r="D40" s="14" t="s">
        <v>128</v>
      </c>
      <c r="E40" s="14" t="s">
        <v>129</v>
      </c>
      <c r="F40" s="14"/>
      <c r="G40" s="16"/>
      <c r="H40" s="48" t="s">
        <v>124</v>
      </c>
      <c r="I40" s="31" t="s">
        <v>135</v>
      </c>
      <c r="J40" s="31"/>
      <c r="K40" s="14"/>
      <c r="L40" s="14"/>
      <c r="M40" s="30"/>
      <c r="N40" s="14" t="s">
        <v>134</v>
      </c>
    </row>
    <row r="41" spans="1:14" ht="346" customHeight="1">
      <c r="A41" s="28" t="str">
        <f>IF($B41="","","BAT-"&amp;TEXT(COUNTIF($B$4:$B41,"?*"),"000"))</f>
        <v>BAT-038</v>
      </c>
      <c r="B41" s="14" t="s">
        <v>115</v>
      </c>
      <c r="C41" s="14" t="s">
        <v>116</v>
      </c>
      <c r="D41" s="14" t="s">
        <v>136</v>
      </c>
      <c r="E41" s="14" t="s">
        <v>137</v>
      </c>
      <c r="F41" s="14"/>
      <c r="G41" s="16" t="s">
        <v>138</v>
      </c>
      <c r="H41" s="44" t="s">
        <v>139</v>
      </c>
      <c r="I41" s="31" t="s">
        <v>140</v>
      </c>
      <c r="J41" s="31" t="s">
        <v>122</v>
      </c>
      <c r="K41" s="14"/>
      <c r="L41" s="14"/>
      <c r="M41" s="30"/>
      <c r="N41" s="14" t="s">
        <v>141</v>
      </c>
    </row>
    <row r="42" spans="1:14" ht="108" customHeight="1">
      <c r="A42" s="28" t="str">
        <f>IF($B42="","","BAT-"&amp;TEXT(COUNTIF($B$4:$B42,"?*"),"000"))</f>
        <v>BAT-039</v>
      </c>
      <c r="B42" s="14" t="s">
        <v>115</v>
      </c>
      <c r="C42" s="14" t="s">
        <v>116</v>
      </c>
      <c r="D42" s="14" t="s">
        <v>136</v>
      </c>
      <c r="E42" s="14" t="s">
        <v>137</v>
      </c>
      <c r="F42" s="14"/>
      <c r="G42" s="16"/>
      <c r="H42" s="44" t="s">
        <v>124</v>
      </c>
      <c r="I42" s="31" t="s">
        <v>142</v>
      </c>
      <c r="J42" s="31" t="s">
        <v>122</v>
      </c>
      <c r="K42" s="14"/>
      <c r="L42" s="14"/>
      <c r="M42" s="30"/>
      <c r="N42" s="14" t="s">
        <v>141</v>
      </c>
    </row>
    <row r="43" spans="1:14" ht="45">
      <c r="A43" s="28" t="str">
        <f>IF($B43="","","BAT-"&amp;TEXT(COUNTIF($B$4:$B43,"?*"),"000"))</f>
        <v>BAT-040</v>
      </c>
      <c r="B43" s="14" t="s">
        <v>143</v>
      </c>
      <c r="C43" s="31" t="s">
        <v>144</v>
      </c>
      <c r="D43" s="14" t="s">
        <v>145</v>
      </c>
      <c r="E43" s="31" t="s">
        <v>146</v>
      </c>
      <c r="F43" s="31"/>
      <c r="G43" s="16"/>
      <c r="H43" s="16" t="s">
        <v>147</v>
      </c>
      <c r="I43" s="50" t="s">
        <v>148</v>
      </c>
      <c r="J43" s="14"/>
      <c r="K43" s="14"/>
      <c r="L43" s="14"/>
      <c r="M43" s="14" t="s">
        <v>149</v>
      </c>
      <c r="N43" s="14" t="s">
        <v>150</v>
      </c>
    </row>
    <row r="44" spans="1:14" ht="45">
      <c r="A44" s="28" t="str">
        <f>IF($B44="","","BAT-"&amp;TEXT(COUNTIF($B$4:$B44,"?*"),"000"))</f>
        <v>BAT-041</v>
      </c>
      <c r="B44" s="14" t="s">
        <v>143</v>
      </c>
      <c r="C44" s="31" t="s">
        <v>144</v>
      </c>
      <c r="D44" s="14" t="s">
        <v>145</v>
      </c>
      <c r="E44" s="31" t="s">
        <v>151</v>
      </c>
      <c r="F44" s="31"/>
      <c r="G44" s="16"/>
      <c r="H44" s="16" t="s">
        <v>147</v>
      </c>
      <c r="I44" s="50" t="s">
        <v>152</v>
      </c>
      <c r="J44" s="14"/>
      <c r="K44" s="14"/>
      <c r="L44" s="14"/>
      <c r="M44" s="14" t="s">
        <v>149</v>
      </c>
      <c r="N44" s="14" t="s">
        <v>150</v>
      </c>
    </row>
    <row r="45" spans="1:14" ht="30">
      <c r="A45" s="24" t="str">
        <f>IF($B45="","","BAT-"&amp;TEXT(COUNTIF($B$4:$B45,"?*"),"000"))</f>
        <v>BAT-042</v>
      </c>
      <c r="B45" s="14" t="s">
        <v>153</v>
      </c>
      <c r="C45" s="14" t="s">
        <v>154</v>
      </c>
      <c r="D45" s="14"/>
      <c r="E45" s="14"/>
      <c r="F45" s="14"/>
      <c r="G45" s="16"/>
      <c r="H45" s="16"/>
      <c r="I45" s="14"/>
      <c r="J45" s="14"/>
      <c r="K45" s="14"/>
      <c r="L45" s="14"/>
      <c r="M45" s="14"/>
      <c r="N45" s="14" t="s">
        <v>155</v>
      </c>
    </row>
    <row r="46" spans="1:14">
      <c r="A46" s="24" t="str">
        <f>IF($B46="","","BAT-"&amp;TEXT(COUNTIF($B$4:$B46,"?*"),"000"))</f>
        <v>BAT-043</v>
      </c>
      <c r="B46" s="14" t="s">
        <v>153</v>
      </c>
      <c r="C46" s="14" t="s">
        <v>156</v>
      </c>
      <c r="D46" s="14" t="s">
        <v>157</v>
      </c>
      <c r="E46" s="14"/>
      <c r="F46" s="14"/>
      <c r="G46" s="16"/>
      <c r="H46" s="16" t="s">
        <v>158</v>
      </c>
      <c r="I46" s="14"/>
      <c r="J46" s="14"/>
      <c r="K46" s="14"/>
      <c r="L46" s="14"/>
      <c r="M46" s="14"/>
      <c r="N46" s="14"/>
    </row>
    <row r="47" spans="1:14">
      <c r="A47" s="24" t="str">
        <f>IF($B47="","","BAT-"&amp;TEXT(COUNTIF($B$4:$B47,"?*"),"000"))</f>
        <v>BAT-044</v>
      </c>
      <c r="B47" s="14" t="s">
        <v>153</v>
      </c>
      <c r="C47" s="14" t="s">
        <v>156</v>
      </c>
      <c r="D47" s="14" t="s">
        <v>159</v>
      </c>
      <c r="E47" s="14"/>
      <c r="F47" s="14"/>
      <c r="G47" s="16"/>
      <c r="H47" s="16"/>
      <c r="I47" s="14"/>
      <c r="J47" s="14"/>
      <c r="K47" s="14"/>
      <c r="L47" s="14"/>
      <c r="M47" s="14"/>
      <c r="N47" s="14"/>
    </row>
    <row r="48" spans="1:14">
      <c r="A48" s="24" t="str">
        <f>IF($B48="","","BAT-"&amp;TEXT(COUNTIF($B$4:$B48,"?*"),"000"))</f>
        <v>BAT-045</v>
      </c>
      <c r="B48" s="14" t="s">
        <v>153</v>
      </c>
      <c r="C48" s="14" t="s">
        <v>156</v>
      </c>
      <c r="D48" s="14" t="s">
        <v>160</v>
      </c>
      <c r="E48" s="14"/>
      <c r="F48" s="14"/>
      <c r="G48" s="16"/>
      <c r="H48" s="16"/>
      <c r="I48" s="14"/>
      <c r="J48" s="14"/>
      <c r="K48" s="14"/>
      <c r="L48" s="14"/>
      <c r="M48" s="14"/>
      <c r="N48" s="14"/>
    </row>
    <row r="49" spans="1:14">
      <c r="A49" s="24" t="str">
        <f>IF($B49="","","BAT-"&amp;TEXT(COUNTIF($B$4:$B49,"?*"),"000"))</f>
        <v>BAT-046</v>
      </c>
      <c r="B49" s="14" t="s">
        <v>161</v>
      </c>
      <c r="C49" s="14"/>
      <c r="D49" s="14"/>
      <c r="E49" s="14"/>
      <c r="F49" s="14"/>
      <c r="G49" s="16"/>
      <c r="H49" s="16"/>
      <c r="I49" s="14"/>
      <c r="J49" s="14"/>
      <c r="K49" s="14"/>
      <c r="L49" s="14"/>
      <c r="M49" s="14"/>
      <c r="N49" s="14" t="s">
        <v>22</v>
      </c>
    </row>
    <row r="50" spans="1:14" ht="45">
      <c r="A50" s="24" t="str">
        <f>IF($B50="","","BAT-"&amp;TEXT(COUNTIF($B$4:$B50,"?*"),"000"))</f>
        <v>BAT-047</v>
      </c>
      <c r="B50" s="14" t="s">
        <v>162</v>
      </c>
      <c r="C50" s="14" t="s">
        <v>163</v>
      </c>
      <c r="D50" s="14" t="s">
        <v>164</v>
      </c>
      <c r="E50" s="14"/>
      <c r="F50" s="14"/>
      <c r="G50" s="16"/>
      <c r="H50" s="16"/>
      <c r="I50" s="14"/>
      <c r="J50" s="14"/>
      <c r="K50" s="14"/>
      <c r="L50" s="14"/>
      <c r="M50" s="14"/>
      <c r="N50" s="14" t="s">
        <v>165</v>
      </c>
    </row>
    <row r="51" spans="1:14">
      <c r="A51" s="24" t="str">
        <f>IF($B51="","","BAT-"&amp;TEXT(COUNTIF($B$4:$B51,"?*"),"000"))</f>
        <v>BAT-048</v>
      </c>
      <c r="B51" s="14" t="s">
        <v>162</v>
      </c>
      <c r="C51" s="14" t="s">
        <v>163</v>
      </c>
      <c r="D51" s="14" t="s">
        <v>166</v>
      </c>
      <c r="E51" s="14"/>
      <c r="F51" s="14"/>
      <c r="G51" s="16"/>
      <c r="H51" s="16"/>
      <c r="I51" s="14"/>
      <c r="J51" s="14"/>
      <c r="K51" s="14"/>
      <c r="L51" s="14"/>
      <c r="M51" s="14"/>
      <c r="N51" s="14"/>
    </row>
    <row r="52" spans="1:14" ht="30">
      <c r="A52" s="24" t="str">
        <f>IF($B52="","","BAT-"&amp;TEXT(COUNTIF($B$4:$B52,"?*"),"000"))</f>
        <v>BAT-049</v>
      </c>
      <c r="B52" s="14" t="s">
        <v>162</v>
      </c>
      <c r="C52" s="14" t="s">
        <v>163</v>
      </c>
      <c r="D52" s="14" t="s">
        <v>167</v>
      </c>
      <c r="E52" s="14"/>
      <c r="F52" s="14"/>
      <c r="G52" s="16"/>
      <c r="H52" s="16"/>
      <c r="I52" s="14"/>
      <c r="J52" s="14"/>
      <c r="K52" s="14"/>
      <c r="L52" s="14"/>
      <c r="M52" s="14"/>
      <c r="N52" s="14"/>
    </row>
    <row r="53" spans="1:14">
      <c r="A53" s="24" t="str">
        <f>IF($B53="","","BAT-"&amp;TEXT(COUNTIF($B$4:$B53,"?*"),"000"))</f>
        <v>BAT-050</v>
      </c>
      <c r="B53" s="14" t="s">
        <v>162</v>
      </c>
      <c r="C53" s="14" t="s">
        <v>163</v>
      </c>
      <c r="D53" s="14" t="s">
        <v>168</v>
      </c>
      <c r="E53" s="14"/>
      <c r="F53" s="14"/>
      <c r="G53" s="16"/>
      <c r="H53" s="16"/>
      <c r="I53" s="14"/>
      <c r="J53" s="14"/>
      <c r="K53" s="14"/>
      <c r="L53" s="14"/>
      <c r="M53" s="14"/>
      <c r="N53" s="14"/>
    </row>
    <row r="54" spans="1:14" ht="30">
      <c r="A54" s="24" t="str">
        <f>IF($B54="","","BAT-"&amp;TEXT(COUNTIF($B$4:$B54,"?*"),"000"))</f>
        <v>BAT-051</v>
      </c>
      <c r="B54" s="14" t="s">
        <v>169</v>
      </c>
      <c r="C54" s="14"/>
      <c r="D54" s="14"/>
      <c r="E54" s="14"/>
      <c r="F54" s="14"/>
      <c r="G54" s="16"/>
      <c r="H54" s="16"/>
      <c r="I54" s="14"/>
      <c r="J54" s="14"/>
      <c r="K54" s="14"/>
      <c r="L54" s="14"/>
      <c r="M54" s="14"/>
      <c r="N54" s="14" t="s">
        <v>170</v>
      </c>
    </row>
    <row r="55" spans="1:14" ht="30">
      <c r="A55" s="24" t="str">
        <f>IF($B55="","","BAT-"&amp;TEXT(COUNTIF($B$4:$B55,"?*"),"000"))</f>
        <v>BAT-052</v>
      </c>
      <c r="B55" s="14" t="s">
        <v>171</v>
      </c>
      <c r="C55" s="14"/>
      <c r="D55" s="14"/>
      <c r="E55" s="14"/>
      <c r="F55" s="14"/>
      <c r="G55" s="16"/>
      <c r="H55" s="16" t="s">
        <v>172</v>
      </c>
      <c r="I55" s="14"/>
      <c r="J55" s="14"/>
      <c r="K55" s="14"/>
      <c r="L55" s="14"/>
      <c r="M55" s="14"/>
      <c r="N55" s="14" t="s">
        <v>173</v>
      </c>
    </row>
    <row r="56" spans="1:14" ht="30">
      <c r="A56" s="24" t="str">
        <f>IF($B56="","","BAT-"&amp;TEXT(COUNTIF($B$4:$B56,"?*"),"000"))</f>
        <v>BAT-053</v>
      </c>
      <c r="B56" s="14" t="s">
        <v>174</v>
      </c>
      <c r="C56" s="14" t="s">
        <v>17</v>
      </c>
      <c r="D56" s="14" t="s">
        <v>175</v>
      </c>
      <c r="E56" s="14"/>
      <c r="F56" s="14"/>
      <c r="G56" s="16"/>
      <c r="H56" s="16"/>
      <c r="I56" s="14"/>
      <c r="J56" s="14"/>
      <c r="K56" s="14"/>
      <c r="L56" s="14"/>
      <c r="M56" s="14"/>
      <c r="N56" s="14" t="s">
        <v>176</v>
      </c>
    </row>
    <row r="57" spans="1:14">
      <c r="A57" s="24" t="str">
        <f>IF($B57="","","BAT-"&amp;TEXT(COUNTIF($B$4:$B57,"?*"),"000"))</f>
        <v>BAT-054</v>
      </c>
      <c r="B57" s="14" t="s">
        <v>174</v>
      </c>
      <c r="C57" s="14" t="s">
        <v>94</v>
      </c>
      <c r="D57" s="14" t="s">
        <v>177</v>
      </c>
      <c r="E57" s="14"/>
      <c r="F57" s="14"/>
      <c r="G57" s="16"/>
      <c r="H57" s="16"/>
      <c r="I57" s="14"/>
      <c r="J57" s="14"/>
      <c r="K57" s="14"/>
      <c r="L57" s="14"/>
      <c r="M57" s="14"/>
      <c r="N57" s="14"/>
    </row>
    <row r="58" spans="1:14">
      <c r="A58" s="24" t="str">
        <f>IF($B58="","","BAT-"&amp;TEXT(COUNTIF($B$4:$B58,"?*"),"000"))</f>
        <v>BAT-055</v>
      </c>
      <c r="B58" s="14" t="s">
        <v>174</v>
      </c>
      <c r="C58" s="14" t="s">
        <v>94</v>
      </c>
      <c r="D58" s="14" t="s">
        <v>178</v>
      </c>
      <c r="E58" s="14"/>
      <c r="F58" s="14"/>
      <c r="G58" s="16"/>
      <c r="H58" s="16"/>
      <c r="I58" s="14"/>
      <c r="J58" s="14"/>
      <c r="K58" s="14"/>
      <c r="L58" s="14"/>
      <c r="M58" s="14"/>
      <c r="N58" s="14"/>
    </row>
    <row r="59" spans="1:14">
      <c r="A59" s="24" t="str">
        <f>IF($B59="","","BAT-"&amp;TEXT(COUNTIF($B$4:$B59,"?*"),"000"))</f>
        <v>BAT-056</v>
      </c>
      <c r="B59" s="14" t="s">
        <v>174</v>
      </c>
      <c r="C59" s="14" t="s">
        <v>94</v>
      </c>
      <c r="D59" s="14" t="s">
        <v>179</v>
      </c>
      <c r="E59" s="14"/>
      <c r="F59" s="14"/>
      <c r="G59" s="16"/>
      <c r="H59" s="16" t="s">
        <v>180</v>
      </c>
      <c r="I59" s="14"/>
      <c r="J59" s="14"/>
      <c r="K59" s="14"/>
      <c r="L59" s="14"/>
      <c r="M59" s="14"/>
      <c r="N59" s="14"/>
    </row>
    <row r="60" spans="1:14">
      <c r="A60" s="24" t="str">
        <f>IF($B60="","","BAT-"&amp;TEXT(COUNTIF($B$4:$B60,"?*"),"000"))</f>
        <v>BAT-057</v>
      </c>
      <c r="B60" s="14" t="s">
        <v>181</v>
      </c>
      <c r="C60" s="14" t="s">
        <v>94</v>
      </c>
      <c r="D60" s="14" t="s">
        <v>182</v>
      </c>
      <c r="E60" s="14"/>
      <c r="F60" s="14"/>
      <c r="G60" s="16"/>
      <c r="H60" s="16"/>
      <c r="I60" s="14"/>
      <c r="J60" s="14"/>
      <c r="K60" s="14"/>
      <c r="L60" s="14"/>
      <c r="M60" s="14"/>
      <c r="N60" s="14"/>
    </row>
    <row r="61" spans="1:14">
      <c r="A61" s="24" t="str">
        <f>IF($B61="","","BAT-"&amp;TEXT(COUNTIF($B$4:$B61,"?*"),"000"))</f>
        <v>BAT-058</v>
      </c>
      <c r="B61" s="14" t="s">
        <v>181</v>
      </c>
      <c r="C61" s="14" t="s">
        <v>94</v>
      </c>
      <c r="D61" s="14" t="s">
        <v>183</v>
      </c>
      <c r="E61" s="14"/>
      <c r="F61" s="14"/>
      <c r="G61" s="16"/>
      <c r="H61" s="16"/>
      <c r="I61" s="14"/>
      <c r="J61" s="14"/>
      <c r="K61" s="14"/>
      <c r="L61" s="14"/>
      <c r="M61" s="14"/>
      <c r="N61" s="14"/>
    </row>
    <row r="62" spans="1:14" ht="75">
      <c r="A62" s="24" t="str">
        <f>IF($B62="","","BAT-"&amp;TEXT(COUNTIF($B$4:$B62,"?*"),"000"))</f>
        <v>BAT-059</v>
      </c>
      <c r="B62" s="14" t="s">
        <v>181</v>
      </c>
      <c r="C62" s="14" t="s">
        <v>94</v>
      </c>
      <c r="D62" s="14" t="s">
        <v>184</v>
      </c>
      <c r="E62" s="32" t="s">
        <v>185</v>
      </c>
      <c r="F62" s="32"/>
      <c r="G62" s="16"/>
      <c r="H62" s="16" t="s">
        <v>186</v>
      </c>
      <c r="I62" s="14" t="s">
        <v>187</v>
      </c>
      <c r="J62" s="14" t="s">
        <v>188</v>
      </c>
      <c r="K62" s="14"/>
      <c r="L62" s="14"/>
      <c r="M62" s="14" t="s">
        <v>189</v>
      </c>
      <c r="N62" s="14"/>
    </row>
    <row r="63" spans="1:14">
      <c r="A63" s="24" t="str">
        <f>IF($B63="","","BAT-"&amp;TEXT(COUNTIF($B$4:$B63,"?*"),"000"))</f>
        <v>BAT-060</v>
      </c>
      <c r="B63" s="14" t="s">
        <v>181</v>
      </c>
      <c r="C63" s="14" t="s">
        <v>94</v>
      </c>
      <c r="D63" s="14" t="s">
        <v>190</v>
      </c>
      <c r="E63" s="14"/>
      <c r="F63" s="14"/>
      <c r="G63" s="16"/>
      <c r="H63" s="16"/>
      <c r="I63" s="14"/>
      <c r="J63" s="14"/>
      <c r="K63" s="14"/>
      <c r="L63" s="14"/>
      <c r="M63" s="14"/>
      <c r="N63" s="14"/>
    </row>
    <row r="64" spans="1:14">
      <c r="A64" s="24" t="str">
        <f>IF($B64="","","BAT-"&amp;TEXT(COUNTIF($B$4:$B64,"?*"),"000"))</f>
        <v>BAT-061</v>
      </c>
      <c r="B64" s="14" t="s">
        <v>181</v>
      </c>
      <c r="C64" s="14" t="s">
        <v>94</v>
      </c>
      <c r="D64" s="14" t="s">
        <v>191</v>
      </c>
      <c r="E64" s="14"/>
      <c r="F64" s="14"/>
      <c r="G64" s="16"/>
      <c r="H64" s="16"/>
      <c r="I64" s="14"/>
      <c r="J64" s="14"/>
      <c r="K64" s="14"/>
      <c r="L64" s="14"/>
      <c r="M64" s="14"/>
      <c r="N64" s="14"/>
    </row>
    <row r="65" spans="1:14">
      <c r="A65" s="24" t="str">
        <f>IF($B65="","","BAT-"&amp;TEXT(COUNTIF($B$4:$B65,"?*"),"000"))</f>
        <v>BAT-062</v>
      </c>
      <c r="B65" s="14" t="s">
        <v>192</v>
      </c>
      <c r="C65" s="14" t="s">
        <v>94</v>
      </c>
      <c r="D65" s="14" t="s">
        <v>193</v>
      </c>
      <c r="E65" s="14"/>
      <c r="F65" s="14"/>
      <c r="G65" s="16"/>
      <c r="H65" s="16"/>
      <c r="I65" s="14"/>
      <c r="J65" s="14"/>
      <c r="K65" s="14"/>
      <c r="L65" s="14"/>
      <c r="M65" s="14"/>
      <c r="N65" s="14"/>
    </row>
    <row r="66" spans="1:14">
      <c r="A66" s="24" t="str">
        <f>IF($B66="","","BAT-"&amp;TEXT(COUNTIF($B$4:$B66,"?*"),"000"))</f>
        <v>BAT-063</v>
      </c>
      <c r="B66" s="14" t="s">
        <v>192</v>
      </c>
      <c r="C66" s="14" t="s">
        <v>94</v>
      </c>
      <c r="D66" s="14" t="s">
        <v>194</v>
      </c>
      <c r="E66" s="14"/>
      <c r="F66" s="14"/>
      <c r="G66" s="16"/>
      <c r="H66" s="16"/>
      <c r="I66" s="14"/>
      <c r="J66" s="14"/>
      <c r="K66" s="14"/>
      <c r="L66" s="14"/>
      <c r="M66" s="14"/>
      <c r="N66" s="14"/>
    </row>
    <row r="67" spans="1:14">
      <c r="A67" s="24" t="str">
        <f>IF($B67="","","BAT-"&amp;TEXT(COUNTIF($B$4:$B67,"?*"),"000"))</f>
        <v>BAT-064</v>
      </c>
      <c r="B67" s="14" t="s">
        <v>195</v>
      </c>
      <c r="C67" s="14" t="s">
        <v>17</v>
      </c>
      <c r="D67" s="14" t="s">
        <v>196</v>
      </c>
      <c r="E67" s="14"/>
      <c r="F67" s="14"/>
      <c r="G67" s="16"/>
      <c r="H67" s="16"/>
      <c r="I67" s="14"/>
      <c r="J67" s="14"/>
      <c r="K67" s="14"/>
      <c r="L67" s="14"/>
      <c r="M67" s="14"/>
      <c r="N67" s="14"/>
    </row>
    <row r="68" spans="1:14">
      <c r="A68" s="24" t="str">
        <f>IF($B68="","","BAT-"&amp;TEXT(COUNTIF($B$4:$B68,"?*"),"000"))</f>
        <v>BAT-065</v>
      </c>
      <c r="B68" s="14" t="s">
        <v>195</v>
      </c>
      <c r="C68" s="14" t="s">
        <v>197</v>
      </c>
      <c r="D68" s="14" t="s">
        <v>198</v>
      </c>
      <c r="E68" s="14"/>
      <c r="F68" s="14"/>
      <c r="G68" s="16"/>
      <c r="H68" s="16"/>
      <c r="I68" s="14"/>
      <c r="J68" s="14"/>
      <c r="K68" s="14"/>
      <c r="L68" s="14"/>
      <c r="M68" s="14"/>
      <c r="N68" s="14"/>
    </row>
    <row r="69" spans="1:14">
      <c r="A69" s="24" t="str">
        <f>IF($B69="","","BAT-"&amp;TEXT(COUNTIF($B$4:$B69,"?*"),"000"))</f>
        <v>BAT-066</v>
      </c>
      <c r="B69" s="14" t="s">
        <v>199</v>
      </c>
      <c r="C69" s="14" t="s">
        <v>17</v>
      </c>
      <c r="D69" s="14" t="s">
        <v>200</v>
      </c>
      <c r="E69" s="14"/>
      <c r="F69" s="14"/>
      <c r="G69" s="16"/>
      <c r="H69" s="16"/>
      <c r="I69" s="14"/>
      <c r="J69" s="14"/>
      <c r="K69" s="14"/>
      <c r="L69" s="14"/>
      <c r="M69" s="14"/>
      <c r="N69" s="14"/>
    </row>
    <row r="70" spans="1:14">
      <c r="A70" s="24" t="str">
        <f>IF($B70="","","BAT-"&amp;TEXT(COUNTIF($B$4:$B70,"?*"),"000"))</f>
        <v>BAT-067</v>
      </c>
      <c r="B70" s="14" t="s">
        <v>199</v>
      </c>
      <c r="C70" s="14" t="s">
        <v>201</v>
      </c>
      <c r="D70" s="14" t="s">
        <v>202</v>
      </c>
      <c r="E70" s="14"/>
      <c r="F70" s="14"/>
      <c r="G70" s="16"/>
      <c r="H70" s="16"/>
      <c r="I70" s="14"/>
      <c r="J70" s="14"/>
      <c r="K70" s="14"/>
      <c r="L70" s="14"/>
      <c r="M70" s="14"/>
      <c r="N70" s="14"/>
    </row>
    <row r="71" spans="1:14" ht="30">
      <c r="A71" s="24" t="str">
        <f>IF($B71="","","BAT-"&amp;TEXT(COUNTIF($B$4:$B71,"?*"),"000"))</f>
        <v>BAT-068</v>
      </c>
      <c r="B71" s="14" t="s">
        <v>203</v>
      </c>
      <c r="C71" s="14" t="s">
        <v>204</v>
      </c>
      <c r="D71" s="14" t="s">
        <v>205</v>
      </c>
      <c r="E71" s="14"/>
      <c r="F71" s="14"/>
      <c r="G71" s="16"/>
      <c r="H71" s="16"/>
      <c r="I71" s="14"/>
      <c r="J71" s="14"/>
      <c r="K71" s="14"/>
      <c r="L71" s="14"/>
      <c r="M71" s="14"/>
      <c r="N71" s="14"/>
    </row>
    <row r="72" spans="1:14">
      <c r="A72" s="24" t="str">
        <f>IF($B72="","","BAT-"&amp;TEXT(COUNTIF($B$4:$B72,"?*"),"000"))</f>
        <v>BAT-069</v>
      </c>
      <c r="B72" s="14" t="s">
        <v>203</v>
      </c>
      <c r="C72" s="14" t="s">
        <v>204</v>
      </c>
      <c r="D72" s="14" t="s">
        <v>206</v>
      </c>
      <c r="E72" s="14"/>
      <c r="F72" s="14"/>
      <c r="G72" s="16"/>
      <c r="H72" s="16"/>
      <c r="I72" s="14"/>
      <c r="J72" s="14"/>
      <c r="K72" s="14"/>
      <c r="L72" s="14"/>
      <c r="M72" s="14"/>
      <c r="N72" s="14"/>
    </row>
    <row r="73" spans="1:14">
      <c r="A73" s="24" t="str">
        <f>IF($B73="","","BAT-"&amp;TEXT(COUNTIF($B$4:$B73,"?*"),"000"))</f>
        <v>BAT-070</v>
      </c>
      <c r="B73" s="14" t="s">
        <v>207</v>
      </c>
      <c r="C73" s="14" t="s">
        <v>17</v>
      </c>
      <c r="D73" s="14" t="s">
        <v>208</v>
      </c>
      <c r="E73" s="14"/>
      <c r="F73" s="14"/>
      <c r="G73" s="16"/>
      <c r="H73" s="16"/>
      <c r="I73" s="14"/>
      <c r="J73" s="14"/>
      <c r="K73" s="14"/>
      <c r="L73" s="14"/>
      <c r="M73" s="14"/>
      <c r="N73" s="14"/>
    </row>
    <row r="74" spans="1:14">
      <c r="A74" s="24" t="str">
        <f>IF($B74="","","BAT-"&amp;TEXT(COUNTIF($B$4:$B74,"?*"),"000"))</f>
        <v>BAT-071</v>
      </c>
      <c r="B74" s="14" t="s">
        <v>207</v>
      </c>
      <c r="C74" s="14" t="s">
        <v>17</v>
      </c>
      <c r="D74" s="14" t="s">
        <v>209</v>
      </c>
      <c r="E74" s="14"/>
      <c r="F74" s="14"/>
      <c r="G74" s="16"/>
      <c r="H74" s="16"/>
      <c r="I74" s="14"/>
      <c r="J74" s="14"/>
      <c r="K74" s="14"/>
      <c r="L74" s="14"/>
      <c r="M74" s="14"/>
      <c r="N74" s="14"/>
    </row>
    <row r="75" spans="1:14">
      <c r="A75" s="24" t="str">
        <f>IF($B75="","","BAT-"&amp;TEXT(COUNTIF($B$4:$B75,"?*"),"000"))</f>
        <v>BAT-072</v>
      </c>
      <c r="B75" s="14" t="s">
        <v>210</v>
      </c>
      <c r="C75" s="14" t="s">
        <v>17</v>
      </c>
      <c r="D75" s="14" t="s">
        <v>211</v>
      </c>
      <c r="E75" s="14"/>
      <c r="F75" s="14"/>
      <c r="G75" s="16"/>
      <c r="H75" s="16"/>
      <c r="I75" s="14"/>
      <c r="J75" s="14"/>
      <c r="K75" s="14"/>
      <c r="L75" s="14"/>
      <c r="M75" s="14"/>
      <c r="N75" s="14"/>
    </row>
    <row r="76" spans="1:14" ht="30">
      <c r="A76" s="24" t="str">
        <f>IF($B76="","","BAT-"&amp;TEXT(COUNTIF($B$4:$B76,"?*"),"000"))</f>
        <v>BAT-073</v>
      </c>
      <c r="B76" s="14" t="s">
        <v>210</v>
      </c>
      <c r="C76" s="14" t="s">
        <v>212</v>
      </c>
      <c r="D76" s="14" t="s">
        <v>213</v>
      </c>
      <c r="E76" s="14"/>
      <c r="F76" s="14"/>
      <c r="G76" s="16"/>
      <c r="H76" s="16"/>
      <c r="I76" s="14"/>
      <c r="J76" s="14"/>
      <c r="K76" s="14"/>
      <c r="L76" s="14"/>
      <c r="M76" s="14"/>
      <c r="N76" s="14"/>
    </row>
    <row r="77" spans="1:14">
      <c r="A77" s="17" t="str">
        <f>IF($B77="","","BAT-"&amp;TEXT(COUNTIF($B$4:$B77,"?*"),"000"))</f>
        <v/>
      </c>
      <c r="B77" s="18"/>
      <c r="C77" s="19"/>
      <c r="D77" s="19"/>
      <c r="E77" s="19"/>
      <c r="F77" s="19"/>
      <c r="G77" s="22"/>
      <c r="H77" s="25"/>
      <c r="I77" s="20"/>
      <c r="J77" s="21"/>
      <c r="K77" s="19"/>
      <c r="L77" s="19"/>
      <c r="M77" s="18"/>
      <c r="N77" s="23"/>
    </row>
    <row r="78" spans="1:14">
      <c r="A78" s="8" t="str">
        <f>IF($B78="","","BAT-"&amp;TEXT(COUNTIF($B$4:$B78,"?*"),"000"))</f>
        <v/>
      </c>
      <c r="B78" s="4"/>
      <c r="C78" s="3"/>
      <c r="D78" s="3"/>
      <c r="E78" s="3"/>
      <c r="F78" s="3"/>
      <c r="G78" s="10"/>
      <c r="H78" s="26"/>
      <c r="I78" s="2"/>
      <c r="J78" s="14"/>
      <c r="K78" s="3"/>
      <c r="L78" s="3"/>
      <c r="M78" s="4"/>
      <c r="N78" s="12"/>
    </row>
    <row r="79" spans="1:14">
      <c r="A79" s="8" t="str">
        <f>IF($B79="","","BAT-"&amp;TEXT(COUNTIF($B$4:$B79,"?*"),"000"))</f>
        <v/>
      </c>
      <c r="B79" s="4"/>
      <c r="C79" s="3"/>
      <c r="D79" s="3"/>
      <c r="E79" s="3"/>
      <c r="F79" s="3"/>
      <c r="G79" s="10"/>
      <c r="H79" s="26"/>
      <c r="I79" s="2"/>
      <c r="J79" s="14"/>
      <c r="K79" s="3"/>
      <c r="L79" s="3"/>
      <c r="M79" s="4"/>
      <c r="N79" s="12"/>
    </row>
    <row r="80" spans="1:14">
      <c r="A80" s="8" t="str">
        <f>IF($B80="","","BAT-"&amp;TEXT(COUNTIF($B$4:$B80,"?*"),"000"))</f>
        <v/>
      </c>
      <c r="B80" s="4"/>
      <c r="C80" s="3"/>
      <c r="D80" s="3"/>
      <c r="E80" s="3"/>
      <c r="F80" s="3"/>
      <c r="G80" s="10"/>
      <c r="H80" s="26"/>
      <c r="I80" s="2"/>
      <c r="J80" s="14"/>
      <c r="K80" s="3"/>
      <c r="L80" s="3"/>
      <c r="M80" s="4"/>
      <c r="N80" s="12"/>
    </row>
    <row r="81" spans="1:14">
      <c r="A81" s="8" t="str">
        <f>IF($B81="","","BAT-"&amp;TEXT(COUNTIF($B$4:$B81,"?*"),"000"))</f>
        <v/>
      </c>
      <c r="B81" s="4"/>
      <c r="C81" s="3"/>
      <c r="D81" s="3"/>
      <c r="E81" s="3"/>
      <c r="F81" s="3"/>
      <c r="G81" s="10"/>
      <c r="H81" s="26"/>
      <c r="I81" s="2"/>
      <c r="J81" s="14"/>
      <c r="K81" s="3"/>
      <c r="L81" s="3"/>
      <c r="M81" s="4"/>
      <c r="N81" s="12"/>
    </row>
    <row r="82" spans="1:14">
      <c r="A82" s="8" t="str">
        <f>IF($B82="","","BAT-"&amp;TEXT(COUNTIF($B$4:$B82,"?*"),"000"))</f>
        <v/>
      </c>
      <c r="B82" s="4"/>
      <c r="C82" s="3"/>
      <c r="D82" s="3"/>
      <c r="E82" s="3"/>
      <c r="F82" s="3"/>
      <c r="G82" s="10"/>
      <c r="H82" s="26"/>
      <c r="I82" s="2"/>
      <c r="J82" s="14"/>
      <c r="K82" s="3"/>
      <c r="L82" s="3"/>
      <c r="M82" s="4"/>
      <c r="N82" s="12"/>
    </row>
    <row r="83" spans="1:14">
      <c r="A83" s="8" t="str">
        <f>IF($B83="","","BAT-"&amp;TEXT(COUNTIF($B$4:$B83,"?*"),"000"))</f>
        <v/>
      </c>
      <c r="B83" s="4"/>
      <c r="C83" s="3"/>
      <c r="D83" s="3"/>
      <c r="E83" s="3"/>
      <c r="F83" s="3"/>
      <c r="G83" s="10"/>
      <c r="H83" s="26"/>
      <c r="I83" s="2"/>
      <c r="J83" s="14"/>
      <c r="K83" s="3"/>
      <c r="L83" s="3"/>
      <c r="M83" s="4"/>
      <c r="N83" s="12"/>
    </row>
    <row r="84" spans="1:14">
      <c r="A84" s="8" t="str">
        <f>IF($B84="","","BAT-"&amp;TEXT(COUNTIF($B$4:$B84,"?*"),"000"))</f>
        <v/>
      </c>
      <c r="B84" s="4"/>
      <c r="C84" s="3"/>
      <c r="D84" s="3"/>
      <c r="E84" s="3"/>
      <c r="F84" s="3"/>
      <c r="G84" s="10"/>
      <c r="H84" s="26"/>
      <c r="I84" s="2"/>
      <c r="J84" s="14"/>
      <c r="K84" s="3"/>
      <c r="L84" s="3"/>
      <c r="M84" s="4"/>
      <c r="N84" s="12"/>
    </row>
    <row r="85" spans="1:14">
      <c r="A85" s="8" t="str">
        <f>IF($B85="","","BAT-"&amp;TEXT(COUNTIF($B$4:$B85,"?*"),"000"))</f>
        <v/>
      </c>
      <c r="B85" s="4"/>
      <c r="C85" s="3"/>
      <c r="D85" s="3"/>
      <c r="E85" s="3"/>
      <c r="F85" s="3"/>
      <c r="G85" s="10"/>
      <c r="H85" s="26"/>
      <c r="I85" s="2"/>
      <c r="J85" s="14"/>
      <c r="K85" s="3"/>
      <c r="L85" s="3"/>
      <c r="M85" s="4"/>
      <c r="N85" s="12"/>
    </row>
    <row r="86" spans="1:14">
      <c r="A86" s="8" t="str">
        <f>IF($B86="","","BAT-"&amp;TEXT(COUNTIF($B$4:$B86,"?*"),"000"))</f>
        <v/>
      </c>
      <c r="B86" s="4"/>
      <c r="C86" s="3"/>
      <c r="D86" s="3"/>
      <c r="E86" s="3"/>
      <c r="F86" s="3"/>
      <c r="G86" s="10"/>
      <c r="H86" s="26"/>
      <c r="I86" s="2"/>
      <c r="J86" s="14"/>
      <c r="K86" s="3"/>
      <c r="L86" s="3"/>
      <c r="M86" s="4"/>
      <c r="N86" s="12"/>
    </row>
    <row r="87" spans="1:14">
      <c r="A87" s="8" t="str">
        <f>IF($B87="","","BAT-"&amp;TEXT(COUNTIF($B$4:$B87,"?*"),"000"))</f>
        <v/>
      </c>
      <c r="B87" s="4"/>
      <c r="C87" s="3"/>
      <c r="D87" s="3"/>
      <c r="E87" s="3"/>
      <c r="F87" s="3"/>
      <c r="G87" s="10"/>
      <c r="H87" s="26"/>
      <c r="I87" s="2"/>
      <c r="J87" s="14"/>
      <c r="K87" s="3"/>
      <c r="L87" s="3"/>
      <c r="M87" s="4"/>
      <c r="N87" s="12"/>
    </row>
    <row r="88" spans="1:14">
      <c r="A88" s="8" t="str">
        <f>IF($B88="","","BAT-"&amp;TEXT(COUNTIF($B$4:$B88,"?*"),"000"))</f>
        <v/>
      </c>
      <c r="B88" s="4"/>
      <c r="C88" s="3"/>
      <c r="D88" s="3"/>
      <c r="E88" s="3"/>
      <c r="F88" s="3"/>
      <c r="G88" s="10"/>
      <c r="H88" s="26"/>
      <c r="I88" s="2"/>
      <c r="J88" s="14"/>
      <c r="K88" s="3"/>
      <c r="L88" s="3"/>
      <c r="M88" s="4"/>
      <c r="N88" s="12"/>
    </row>
    <row r="89" spans="1:14">
      <c r="A89" s="8" t="str">
        <f>IF($B89="","","BAT-"&amp;TEXT(COUNTIF($B$4:$B89,"?*"),"000"))</f>
        <v/>
      </c>
      <c r="B89" s="4"/>
      <c r="C89" s="3"/>
      <c r="D89" s="3"/>
      <c r="E89" s="3"/>
      <c r="F89" s="3"/>
      <c r="G89" s="10"/>
      <c r="H89" s="26"/>
      <c r="I89" s="2"/>
      <c r="J89" s="14"/>
      <c r="K89" s="3"/>
      <c r="L89" s="3"/>
      <c r="M89" s="4"/>
      <c r="N89" s="12"/>
    </row>
    <row r="90" spans="1:14">
      <c r="A90" s="8" t="str">
        <f>IF($B90="","","BAT-"&amp;TEXT(COUNTIF($B$4:$B90,"?*"),"000"))</f>
        <v/>
      </c>
      <c r="B90" s="4"/>
      <c r="C90" s="3"/>
      <c r="D90" s="3"/>
      <c r="E90" s="3"/>
      <c r="F90" s="3"/>
      <c r="G90" s="10"/>
      <c r="H90" s="26"/>
      <c r="I90" s="2"/>
      <c r="J90" s="14"/>
      <c r="K90" s="3"/>
      <c r="L90" s="3"/>
      <c r="M90" s="4"/>
      <c r="N90" s="12"/>
    </row>
    <row r="91" spans="1:14">
      <c r="A91" s="8" t="str">
        <f>IF($B91="","","BAT-"&amp;TEXT(COUNTIF($B$4:$B91,"?*"),"000"))</f>
        <v/>
      </c>
      <c r="B91" s="4"/>
      <c r="C91" s="3"/>
      <c r="D91" s="3"/>
      <c r="E91" s="3"/>
      <c r="F91" s="3"/>
      <c r="G91" s="10"/>
      <c r="H91" s="26"/>
      <c r="I91" s="2"/>
      <c r="J91" s="14"/>
      <c r="K91" s="3"/>
      <c r="L91" s="3"/>
      <c r="M91" s="4"/>
      <c r="N91" s="12"/>
    </row>
    <row r="92" spans="1:14">
      <c r="A92" s="8" t="str">
        <f>IF($B92="","","BAT-"&amp;TEXT(COUNTIF($B$4:$B92,"?*"),"000"))</f>
        <v/>
      </c>
      <c r="B92" s="4"/>
      <c r="C92" s="3"/>
      <c r="D92" s="3"/>
      <c r="E92" s="3"/>
      <c r="F92" s="3"/>
      <c r="G92" s="10"/>
      <c r="H92" s="26"/>
      <c r="I92" s="2"/>
      <c r="J92" s="14"/>
      <c r="K92" s="3"/>
      <c r="L92" s="3"/>
      <c r="M92" s="4"/>
      <c r="N92" s="12"/>
    </row>
    <row r="93" spans="1:14">
      <c r="A93" s="8" t="str">
        <f>IF($B93="","","BAT-"&amp;TEXT(COUNTIF($B$4:$B93,"?*"),"000"))</f>
        <v/>
      </c>
      <c r="B93" s="4"/>
      <c r="C93" s="3"/>
      <c r="D93" s="3"/>
      <c r="E93" s="3"/>
      <c r="F93" s="3"/>
      <c r="G93" s="10"/>
      <c r="H93" s="26"/>
      <c r="I93" s="2"/>
      <c r="J93" s="14"/>
      <c r="K93" s="3"/>
      <c r="L93" s="3"/>
      <c r="M93" s="4"/>
      <c r="N93" s="12"/>
    </row>
    <row r="94" spans="1:14">
      <c r="A94" s="8" t="str">
        <f>IF($B94="","","BAT-"&amp;TEXT(COUNTIF($B$4:$B94,"?*"),"000"))</f>
        <v/>
      </c>
      <c r="B94" s="4"/>
      <c r="C94" s="3"/>
      <c r="D94" s="3"/>
      <c r="E94" s="3"/>
      <c r="F94" s="3"/>
      <c r="G94" s="10"/>
      <c r="H94" s="26"/>
      <c r="I94" s="2"/>
      <c r="J94" s="14"/>
      <c r="K94" s="3"/>
      <c r="L94" s="3"/>
      <c r="M94" s="4"/>
      <c r="N94" s="12"/>
    </row>
    <row r="95" spans="1:14">
      <c r="A95" s="8" t="str">
        <f>IF($B95="","","BAT-"&amp;TEXT(COUNTIF($B$4:$B95,"?*"),"000"))</f>
        <v/>
      </c>
      <c r="B95" s="4"/>
      <c r="C95" s="3"/>
      <c r="D95" s="3"/>
      <c r="E95" s="3"/>
      <c r="F95" s="3"/>
      <c r="G95" s="10"/>
      <c r="H95" s="26"/>
      <c r="I95" s="2"/>
      <c r="J95" s="14"/>
      <c r="K95" s="3"/>
      <c r="L95" s="3"/>
      <c r="M95" s="4"/>
      <c r="N95" s="12"/>
    </row>
    <row r="96" spans="1:14">
      <c r="A96" s="8" t="str">
        <f>IF($B96="","","BAT-"&amp;TEXT(COUNTIF($B$4:$B96,"?*"),"000"))</f>
        <v/>
      </c>
      <c r="B96" s="4"/>
      <c r="C96" s="3"/>
      <c r="D96" s="3"/>
      <c r="E96" s="3"/>
      <c r="F96" s="3"/>
      <c r="G96" s="10"/>
      <c r="H96" s="26"/>
      <c r="I96" s="2"/>
      <c r="J96" s="14"/>
      <c r="K96" s="3"/>
      <c r="L96" s="3"/>
      <c r="M96" s="4"/>
      <c r="N96" s="12"/>
    </row>
    <row r="97" spans="1:14">
      <c r="A97" s="8" t="str">
        <f>IF($B97="","","BAT-"&amp;TEXT(COUNTIF($B$4:$B97,"?*"),"000"))</f>
        <v/>
      </c>
      <c r="B97" s="4"/>
      <c r="C97" s="3"/>
      <c r="D97" s="3"/>
      <c r="E97" s="3"/>
      <c r="F97" s="3"/>
      <c r="G97" s="10"/>
      <c r="H97" s="26"/>
      <c r="I97" s="2"/>
      <c r="J97" s="14"/>
      <c r="K97" s="3"/>
      <c r="L97" s="3"/>
      <c r="M97" s="4"/>
      <c r="N97" s="12"/>
    </row>
    <row r="98" spans="1:14">
      <c r="A98" s="8" t="str">
        <f>IF($B98="","","BAT-"&amp;TEXT(COUNTIF($B$4:$B98,"?*"),"000"))</f>
        <v/>
      </c>
      <c r="B98" s="4"/>
      <c r="C98" s="3"/>
      <c r="D98" s="3"/>
      <c r="E98" s="3"/>
      <c r="F98" s="3"/>
      <c r="G98" s="10"/>
      <c r="H98" s="26"/>
      <c r="I98" s="2"/>
      <c r="J98" s="14"/>
      <c r="K98" s="3"/>
      <c r="L98" s="3"/>
      <c r="M98" s="4"/>
      <c r="N98" s="12"/>
    </row>
    <row r="99" spans="1:14">
      <c r="A99" s="8" t="str">
        <f>IF($B99="","","BAT-"&amp;TEXT(COUNTIF($B$4:$B99,"?*"),"000"))</f>
        <v/>
      </c>
      <c r="B99" s="4"/>
      <c r="C99" s="3"/>
      <c r="D99" s="3"/>
      <c r="E99" s="3"/>
      <c r="F99" s="3"/>
      <c r="G99" s="10"/>
      <c r="H99" s="26"/>
      <c r="I99" s="2"/>
      <c r="J99" s="14"/>
      <c r="K99" s="3"/>
      <c r="L99" s="3"/>
      <c r="M99" s="4"/>
      <c r="N99" s="12"/>
    </row>
    <row r="100" spans="1:14">
      <c r="A100" s="8" t="str">
        <f>IF($B100="","","BAT-"&amp;TEXT(COUNTIF($B$4:$B100,"?*"),"000"))</f>
        <v/>
      </c>
      <c r="B100" s="4"/>
      <c r="C100" s="3"/>
      <c r="D100" s="3"/>
      <c r="E100" s="3"/>
      <c r="F100" s="3"/>
      <c r="G100" s="10"/>
      <c r="H100" s="26"/>
      <c r="I100" s="2"/>
      <c r="J100" s="14"/>
      <c r="K100" s="3"/>
      <c r="L100" s="3"/>
      <c r="M100" s="4"/>
      <c r="N100" s="12"/>
    </row>
    <row r="101" spans="1:14">
      <c r="A101" s="8" t="str">
        <f>IF($B101="","","BAT-"&amp;TEXT(COUNTIF($B$4:$B101,"?*"),"000"))</f>
        <v/>
      </c>
      <c r="B101" s="4"/>
      <c r="C101" s="3"/>
      <c r="D101" s="3"/>
      <c r="E101" s="3"/>
      <c r="F101" s="3"/>
      <c r="G101" s="10"/>
      <c r="H101" s="26"/>
      <c r="I101" s="2"/>
      <c r="J101" s="14"/>
      <c r="K101" s="3"/>
      <c r="L101" s="3"/>
      <c r="M101" s="4"/>
      <c r="N101" s="12"/>
    </row>
    <row r="102" spans="1:14">
      <c r="A102" s="8" t="str">
        <f>IF($B102="","","BAT-"&amp;TEXT(COUNTIF($B$4:$B102,"?*"),"000"))</f>
        <v/>
      </c>
      <c r="B102" s="4"/>
      <c r="C102" s="3"/>
      <c r="D102" s="3"/>
      <c r="E102" s="3"/>
      <c r="F102" s="3"/>
      <c r="G102" s="10"/>
      <c r="H102" s="26"/>
      <c r="I102" s="2"/>
      <c r="J102" s="14"/>
      <c r="K102" s="3"/>
      <c r="L102" s="3"/>
      <c r="M102" s="4"/>
      <c r="N102" s="12"/>
    </row>
    <row r="103" spans="1:14">
      <c r="A103" s="8" t="str">
        <f>IF($B103="","","BAT-"&amp;TEXT(COUNTIF($B$4:$B103,"?*"),"000"))</f>
        <v/>
      </c>
      <c r="B103" s="4"/>
      <c r="C103" s="3"/>
      <c r="D103" s="3"/>
      <c r="E103" s="3"/>
      <c r="F103" s="3"/>
      <c r="G103" s="10"/>
      <c r="H103" s="26"/>
      <c r="I103" s="2"/>
      <c r="J103" s="14"/>
      <c r="K103" s="3"/>
      <c r="L103" s="3"/>
      <c r="M103" s="4"/>
      <c r="N103" s="12"/>
    </row>
    <row r="104" spans="1:14">
      <c r="A104" s="8" t="str">
        <f>IF($B104="","","BAT-"&amp;TEXT(COUNTIF($B$4:$B104,"?*"),"000"))</f>
        <v/>
      </c>
      <c r="B104" s="4"/>
      <c r="C104" s="3"/>
      <c r="D104" s="3"/>
      <c r="E104" s="3"/>
      <c r="F104" s="3"/>
      <c r="G104" s="10"/>
      <c r="H104" s="26"/>
      <c r="I104" s="2"/>
      <c r="J104" s="14"/>
      <c r="K104" s="3"/>
      <c r="L104" s="3"/>
      <c r="M104" s="4"/>
      <c r="N104" s="12"/>
    </row>
    <row r="105" spans="1:14">
      <c r="A105" s="8" t="str">
        <f>IF($B105="","","BAT-"&amp;TEXT(COUNTIF($B$4:$B105,"?*"),"000"))</f>
        <v/>
      </c>
      <c r="B105" s="4"/>
      <c r="C105" s="3"/>
      <c r="D105" s="3"/>
      <c r="E105" s="3"/>
      <c r="F105" s="3"/>
      <c r="G105" s="10"/>
      <c r="H105" s="26"/>
      <c r="I105" s="2"/>
      <c r="J105" s="14"/>
      <c r="K105" s="3"/>
      <c r="L105" s="3"/>
      <c r="M105" s="4"/>
      <c r="N105" s="12"/>
    </row>
    <row r="106" spans="1:14">
      <c r="A106" s="8" t="str">
        <f>IF($B106="","","BAT-"&amp;TEXT(COUNTIF($B$4:$B106,"?*"),"000"))</f>
        <v/>
      </c>
      <c r="B106" s="4"/>
      <c r="C106" s="3"/>
      <c r="D106" s="3"/>
      <c r="E106" s="3"/>
      <c r="F106" s="3"/>
      <c r="G106" s="10"/>
      <c r="H106" s="26"/>
      <c r="I106" s="2"/>
      <c r="J106" s="14"/>
      <c r="K106" s="3"/>
      <c r="L106" s="3"/>
      <c r="M106" s="4"/>
      <c r="N106" s="12"/>
    </row>
    <row r="107" spans="1:14">
      <c r="A107" s="8" t="str">
        <f>IF($B107="","","BAT-"&amp;TEXT(COUNTIF($B$4:$B107,"?*"),"000"))</f>
        <v/>
      </c>
      <c r="B107" s="4"/>
      <c r="C107" s="3"/>
      <c r="D107" s="3"/>
      <c r="E107" s="3"/>
      <c r="F107" s="3"/>
      <c r="G107" s="10"/>
      <c r="H107" s="26"/>
      <c r="I107" s="2"/>
      <c r="J107" s="14"/>
      <c r="K107" s="3"/>
      <c r="L107" s="3"/>
      <c r="M107" s="4"/>
      <c r="N107" s="12"/>
    </row>
    <row r="108" spans="1:14">
      <c r="A108" s="8" t="str">
        <f>IF($B108="","","BAT-"&amp;TEXT(COUNTIF($B$4:$B108,"?*"),"000"))</f>
        <v/>
      </c>
      <c r="B108" s="4"/>
      <c r="C108" s="3"/>
      <c r="D108" s="3"/>
      <c r="E108" s="3"/>
      <c r="F108" s="3"/>
      <c r="G108" s="10"/>
      <c r="H108" s="26"/>
      <c r="I108" s="2"/>
      <c r="J108" s="14"/>
      <c r="K108" s="3"/>
      <c r="L108" s="3"/>
      <c r="M108" s="4"/>
      <c r="N108" s="12"/>
    </row>
    <row r="109" spans="1:14">
      <c r="A109" s="8" t="str">
        <f>IF($B109="","","BAT-"&amp;TEXT(COUNTIF($B$4:$B109,"?*"),"000"))</f>
        <v/>
      </c>
      <c r="B109" s="4"/>
      <c r="C109" s="3"/>
      <c r="D109" s="3"/>
      <c r="E109" s="3"/>
      <c r="F109" s="3"/>
      <c r="G109" s="10"/>
      <c r="H109" s="26"/>
      <c r="I109" s="2"/>
      <c r="J109" s="14"/>
      <c r="K109" s="3"/>
      <c r="L109" s="3"/>
      <c r="M109" s="4"/>
      <c r="N109" s="12"/>
    </row>
    <row r="110" spans="1:14">
      <c r="A110" s="8" t="str">
        <f>IF($B110="","","BAT-"&amp;TEXT(COUNTIF($B$4:$B110,"?*"),"000"))</f>
        <v/>
      </c>
      <c r="B110" s="4"/>
      <c r="C110" s="3"/>
      <c r="D110" s="3"/>
      <c r="E110" s="3"/>
      <c r="F110" s="3"/>
      <c r="G110" s="10"/>
      <c r="H110" s="26"/>
      <c r="I110" s="2"/>
      <c r="J110" s="14"/>
      <c r="K110" s="3"/>
      <c r="L110" s="3"/>
      <c r="M110" s="4"/>
      <c r="N110" s="12"/>
    </row>
    <row r="111" spans="1:14">
      <c r="A111" s="8" t="str">
        <f>IF($B111="","","BAT-"&amp;TEXT(COUNTIF($B$4:$B111,"?*"),"000"))</f>
        <v/>
      </c>
      <c r="B111" s="4"/>
      <c r="C111" s="3"/>
      <c r="D111" s="3"/>
      <c r="E111" s="3"/>
      <c r="F111" s="3"/>
      <c r="G111" s="10"/>
      <c r="H111" s="26"/>
      <c r="I111" s="2"/>
      <c r="J111" s="14"/>
      <c r="K111" s="3"/>
      <c r="L111" s="3"/>
      <c r="M111" s="4"/>
      <c r="N111" s="12"/>
    </row>
    <row r="112" spans="1:14">
      <c r="A112" s="8" t="str">
        <f>IF($B112="","","BAT-"&amp;TEXT(COUNTIF($B$4:$B112,"?*"),"000"))</f>
        <v/>
      </c>
      <c r="B112" s="4"/>
      <c r="C112" s="3"/>
      <c r="D112" s="3"/>
      <c r="E112" s="3"/>
      <c r="F112" s="3"/>
      <c r="G112" s="10"/>
      <c r="H112" s="26"/>
      <c r="I112" s="2"/>
      <c r="J112" s="14"/>
      <c r="K112" s="3"/>
      <c r="L112" s="3"/>
      <c r="M112" s="4"/>
      <c r="N112" s="12"/>
    </row>
    <row r="113" spans="1:14">
      <c r="A113" s="9" t="str">
        <f>IF($B113="","","BAT-"&amp;TEXT(COUNTIF($B$4:$B113,"?*"),"000"))</f>
        <v/>
      </c>
      <c r="B113" s="7"/>
      <c r="C113" s="6"/>
      <c r="D113" s="6"/>
      <c r="E113" s="6"/>
      <c r="F113" s="6"/>
      <c r="G113" s="11"/>
      <c r="H113" s="27"/>
      <c r="I113" s="5"/>
      <c r="J113" s="15"/>
      <c r="K113" s="6"/>
      <c r="L113" s="6"/>
      <c r="M113" s="7"/>
      <c r="N113" s="13"/>
    </row>
  </sheetData>
  <autoFilter ref="A3:N3" xr:uid="{2BA39004-2F11-4DF5-90AD-9215119CDCA3}"/>
  <mergeCells count="2">
    <mergeCell ref="A1:N1"/>
    <mergeCell ref="A2:N2"/>
  </mergeCells>
  <phoneticPr fontId="6"/>
  <dataValidations count="3">
    <dataValidation type="list" allowBlank="1" showInputMessage="1" showErrorMessage="1" sqref="F4:F76" xr:uid="{4147E298-4366-496C-80FD-7F50115E23BE}">
      <formula1>"完了,対応中"</formula1>
    </dataValidation>
    <dataValidation type="list" allowBlank="1" showInputMessage="1" showErrorMessage="1" sqref="G4:G113" xr:uid="{3AAAE221-3685-4634-86EE-DC20D4C93925}">
      <formula1>"高,中,低"</formula1>
    </dataValidation>
    <dataValidation type="list" allowBlank="1" showInputMessage="1" showErrorMessage="1" sqref="L4:L113" xr:uid="{7FFAA4AC-3F80-46BA-A67F-28F9F3149E4F}">
      <formula1>"試験,解析,検査,実証,-"</formula1>
    </dataValidation>
  </dataValidations>
  <pageMargins left="0.7" right="0.7" top="0.75" bottom="0.75" header="0.3" footer="0.3"/>
  <pageSetup paperSize="9" orientation="portrait" horizontalDpi="1200" verticalDpi="1200" r:id="rId1"/>
  <headerFooter>
    <oddHeader>&amp;C&amp;"Aptos"&amp;10&amp;K000000 PROTECTED 関係者外秘&amp;1#_x000D_</oddHead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4E40-CCAE-4822-8F93-742F52CFDEE7}">
  <dimension ref="A1:BA73"/>
  <sheetViews>
    <sheetView zoomScale="60" zoomScaleNormal="60" workbookViewId="0">
      <pane xSplit="3" ySplit="7" topLeftCell="D12" activePane="bottomRight" state="frozen"/>
      <selection pane="topRight" activeCell="D1" sqref="D1"/>
      <selection pane="bottomLeft" activeCell="A7" sqref="A7"/>
      <selection pane="bottomRight" activeCell="D21" sqref="D21"/>
    </sheetView>
  </sheetViews>
  <sheetFormatPr defaultRowHeight="18" outlineLevelCol="1"/>
  <cols>
    <col min="2" max="2" width="36" customWidth="1"/>
    <col min="3" max="3" width="53.08203125" customWidth="1"/>
    <col min="4" max="4" width="72" customWidth="1"/>
    <col min="5" max="5" width="23.83203125" style="52" customWidth="1"/>
    <col min="6" max="6" width="11.5" customWidth="1"/>
    <col min="7" max="7" width="48.75" hidden="1" customWidth="1"/>
    <col min="8" max="10" width="47.83203125" hidden="1" customWidth="1"/>
    <col min="11" max="11" width="45.08203125" customWidth="1"/>
    <col min="12" max="12" width="26.5" style="60" customWidth="1"/>
    <col min="13" max="13" width="21.33203125" style="60" customWidth="1"/>
    <col min="14" max="14" width="19.75" style="60" customWidth="1"/>
    <col min="15" max="15" width="10.58203125" style="60" customWidth="1"/>
    <col min="16" max="16" width="13.25" style="60" customWidth="1"/>
    <col min="17" max="17" width="28" hidden="1" customWidth="1"/>
    <col min="18" max="18" width="13.25" style="60" customWidth="1"/>
    <col min="19" max="20" width="13" customWidth="1"/>
    <col min="21" max="21" width="10.58203125" customWidth="1"/>
    <col min="22" max="23" width="14.58203125" customWidth="1"/>
    <col min="24" max="25" width="10.58203125" customWidth="1"/>
    <col min="26" max="29" width="10.58203125" customWidth="1" outlineLevel="1"/>
    <col min="30" max="30" width="12.75" customWidth="1" outlineLevel="1"/>
    <col min="31" max="32" width="10.58203125" customWidth="1" outlineLevel="1"/>
    <col min="33" max="33" width="13.33203125" customWidth="1" outlineLevel="1"/>
    <col min="34" max="34" width="18.33203125" customWidth="1" outlineLevel="1"/>
    <col min="35" max="35" width="23.33203125" customWidth="1"/>
    <col min="36" max="36" width="10.58203125" customWidth="1"/>
    <col min="37" max="37" width="12.75" bestFit="1" customWidth="1"/>
    <col min="38" max="39" width="14.58203125" bestFit="1" customWidth="1"/>
    <col min="40" max="40" width="13.75" bestFit="1" customWidth="1"/>
    <col min="41" max="43" width="10.58203125" customWidth="1"/>
    <col min="44" max="45" width="12.5" customWidth="1"/>
    <col min="46" max="46" width="10.58203125" customWidth="1"/>
    <col min="49" max="49" width="42.33203125" bestFit="1" customWidth="1"/>
    <col min="50" max="50" width="20.33203125" customWidth="1"/>
    <col min="51" max="51" width="44.83203125" customWidth="1"/>
    <col min="53" max="53" width="70.58203125" customWidth="1"/>
  </cols>
  <sheetData>
    <row r="1" spans="1:53">
      <c r="L1" s="157" t="s">
        <v>214</v>
      </c>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c r="AQ1" s="157"/>
      <c r="AR1" s="157"/>
      <c r="AS1" s="157"/>
      <c r="AT1" s="157"/>
    </row>
    <row r="2" spans="1:53">
      <c r="B2" t="s">
        <v>215</v>
      </c>
      <c r="C2" t="s">
        <v>216</v>
      </c>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BA2" t="s">
        <v>217</v>
      </c>
    </row>
    <row r="3" spans="1:53">
      <c r="B3" t="s">
        <v>218</v>
      </c>
      <c r="C3" t="s">
        <v>219</v>
      </c>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BA3" t="s">
        <v>220</v>
      </c>
    </row>
    <row r="4" spans="1:53">
      <c r="B4" s="134" t="s">
        <v>221</v>
      </c>
      <c r="D4" t="s">
        <v>222</v>
      </c>
      <c r="G4" s="115" t="s">
        <v>223</v>
      </c>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BA4" t="s">
        <v>224</v>
      </c>
    </row>
    <row r="5" spans="1:53">
      <c r="B5" s="140" t="s">
        <v>225</v>
      </c>
      <c r="D5" t="s">
        <v>226</v>
      </c>
      <c r="L5" s="61" t="s">
        <v>227</v>
      </c>
      <c r="M5" s="61" t="s">
        <v>228</v>
      </c>
      <c r="N5" s="61" t="s">
        <v>228</v>
      </c>
      <c r="O5" s="61" t="s">
        <v>229</v>
      </c>
      <c r="P5" s="61" t="s">
        <v>230</v>
      </c>
      <c r="Q5" s="61"/>
      <c r="R5" s="61" t="s">
        <v>231</v>
      </c>
      <c r="S5" s="61" t="s">
        <v>231</v>
      </c>
      <c r="T5" s="61" t="s">
        <v>231</v>
      </c>
      <c r="U5" s="61" t="s">
        <v>228</v>
      </c>
      <c r="V5" s="61" t="s">
        <v>228</v>
      </c>
      <c r="W5" s="61" t="s">
        <v>232</v>
      </c>
      <c r="X5" s="61"/>
      <c r="Y5" s="61"/>
      <c r="Z5" s="61"/>
      <c r="AA5" s="61"/>
      <c r="AB5" s="61"/>
      <c r="AC5" s="61"/>
      <c r="AD5" s="61"/>
      <c r="AE5" s="61"/>
      <c r="AF5" s="61" t="s">
        <v>229</v>
      </c>
      <c r="AG5" s="61" t="s">
        <v>229</v>
      </c>
      <c r="AH5" s="61"/>
      <c r="AI5" s="61" t="s">
        <v>230</v>
      </c>
      <c r="AJ5" s="61" t="s">
        <v>233</v>
      </c>
      <c r="AK5" s="61" t="s">
        <v>230</v>
      </c>
      <c r="AL5" s="61"/>
      <c r="AM5" s="61"/>
      <c r="AN5" s="61" t="s">
        <v>232</v>
      </c>
      <c r="AO5" s="61" t="s">
        <v>230</v>
      </c>
      <c r="AP5" s="61" t="s">
        <v>233</v>
      </c>
      <c r="AQ5" s="61" t="s">
        <v>234</v>
      </c>
      <c r="AR5" s="61" t="s">
        <v>235</v>
      </c>
      <c r="AS5" s="61" t="s">
        <v>235</v>
      </c>
      <c r="AT5" s="61" t="s">
        <v>235</v>
      </c>
    </row>
    <row r="6" spans="1:53">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row>
    <row r="7" spans="1:53" s="65" customFormat="1" ht="54">
      <c r="A7" s="117" t="s">
        <v>2</v>
      </c>
      <c r="B7" s="117" t="s">
        <v>3</v>
      </c>
      <c r="C7" s="117" t="s">
        <v>236</v>
      </c>
      <c r="D7" s="117" t="s">
        <v>10</v>
      </c>
      <c r="E7" s="118" t="s">
        <v>6</v>
      </c>
      <c r="F7" s="117" t="s">
        <v>7</v>
      </c>
      <c r="G7" s="117" t="s">
        <v>237</v>
      </c>
      <c r="H7" s="117" t="s">
        <v>238</v>
      </c>
      <c r="I7" s="117" t="s">
        <v>239</v>
      </c>
      <c r="J7" s="117" t="s">
        <v>240</v>
      </c>
      <c r="K7" s="117" t="s">
        <v>241</v>
      </c>
      <c r="L7" s="119" t="s">
        <v>242</v>
      </c>
      <c r="M7" s="119" t="s">
        <v>243</v>
      </c>
      <c r="N7" s="119" t="s">
        <v>244</v>
      </c>
      <c r="O7" s="120" t="s">
        <v>245</v>
      </c>
      <c r="P7" s="119" t="s">
        <v>246</v>
      </c>
      <c r="Q7" s="119" t="s">
        <v>247</v>
      </c>
      <c r="R7" s="119" t="s">
        <v>248</v>
      </c>
      <c r="S7" s="119" t="s">
        <v>249</v>
      </c>
      <c r="T7" s="119" t="s">
        <v>250</v>
      </c>
      <c r="U7" s="119" t="s">
        <v>251</v>
      </c>
      <c r="V7" s="119" t="s">
        <v>252</v>
      </c>
      <c r="W7" s="119" t="s">
        <v>253</v>
      </c>
      <c r="X7" s="119" t="s">
        <v>254</v>
      </c>
      <c r="Y7" s="119" t="s">
        <v>255</v>
      </c>
      <c r="Z7" s="119" t="s">
        <v>256</v>
      </c>
      <c r="AA7" s="119" t="s">
        <v>257</v>
      </c>
      <c r="AB7" s="119" t="s">
        <v>258</v>
      </c>
      <c r="AC7" s="119" t="s">
        <v>259</v>
      </c>
      <c r="AD7" s="119" t="s">
        <v>260</v>
      </c>
      <c r="AE7" s="119" t="s">
        <v>261</v>
      </c>
      <c r="AF7" s="120" t="s">
        <v>262</v>
      </c>
      <c r="AG7" s="119" t="s">
        <v>263</v>
      </c>
      <c r="AH7" s="119" t="s">
        <v>264</v>
      </c>
      <c r="AI7" s="119" t="s">
        <v>265</v>
      </c>
      <c r="AJ7" s="119" t="s">
        <v>266</v>
      </c>
      <c r="AK7" s="119" t="s">
        <v>267</v>
      </c>
      <c r="AL7" s="119" t="s">
        <v>268</v>
      </c>
      <c r="AM7" s="119" t="s">
        <v>269</v>
      </c>
      <c r="AN7" s="120" t="s">
        <v>270</v>
      </c>
      <c r="AO7" s="119" t="s">
        <v>271</v>
      </c>
      <c r="AP7" s="119" t="s">
        <v>272</v>
      </c>
      <c r="AQ7" s="119" t="s">
        <v>273</v>
      </c>
      <c r="AR7" s="119" t="s">
        <v>274</v>
      </c>
      <c r="AS7" s="119" t="s">
        <v>275</v>
      </c>
      <c r="AT7" s="119" t="s">
        <v>276</v>
      </c>
      <c r="AU7" s="117" t="s">
        <v>2</v>
      </c>
      <c r="AV7" s="117" t="s">
        <v>277</v>
      </c>
      <c r="AW7" s="117" t="s">
        <v>236</v>
      </c>
      <c r="AX7" s="117" t="s">
        <v>14</v>
      </c>
      <c r="AY7" s="117" t="s">
        <v>15</v>
      </c>
      <c r="BA7" s="117" t="s">
        <v>278</v>
      </c>
    </row>
    <row r="8" spans="1:53" ht="75">
      <c r="A8" s="24" t="str">
        <f>IF($B8="","","BATs-"&amp;TEXT(COUNTIF($B8:$B$8,"?*"),"000"))</f>
        <v>BATs-001</v>
      </c>
      <c r="B8" s="14" t="s">
        <v>143</v>
      </c>
      <c r="C8" s="14" t="s">
        <v>279</v>
      </c>
      <c r="D8" s="135" t="s">
        <v>280</v>
      </c>
      <c r="E8" s="52" t="s">
        <v>281</v>
      </c>
      <c r="F8" s="31" t="s">
        <v>119</v>
      </c>
      <c r="G8" s="114" t="s">
        <v>282</v>
      </c>
      <c r="H8" s="31" t="s">
        <v>283</v>
      </c>
      <c r="I8" s="31" t="s">
        <v>284</v>
      </c>
      <c r="J8" s="31"/>
      <c r="K8" s="16"/>
      <c r="L8" s="16"/>
      <c r="M8" s="16"/>
      <c r="N8" s="16"/>
      <c r="O8" s="16"/>
      <c r="P8" s="121" t="s">
        <v>285</v>
      </c>
      <c r="Q8" s="72" t="s">
        <v>286</v>
      </c>
      <c r="R8" s="73"/>
      <c r="S8" s="121" t="s">
        <v>285</v>
      </c>
      <c r="T8" s="121" t="s">
        <v>285</v>
      </c>
      <c r="U8" s="122" t="s">
        <v>285</v>
      </c>
      <c r="V8" s="121" t="s">
        <v>285</v>
      </c>
      <c r="W8" s="14"/>
      <c r="X8" s="73" t="s">
        <v>285</v>
      </c>
      <c r="Y8" s="14"/>
      <c r="Z8" s="14"/>
      <c r="AA8" s="14"/>
      <c r="AB8" s="73" t="s">
        <v>285</v>
      </c>
      <c r="AC8" s="73"/>
      <c r="AD8" s="14"/>
      <c r="AE8" s="14"/>
      <c r="AF8" s="14"/>
      <c r="AG8" s="14"/>
      <c r="AH8" s="121" t="s">
        <v>285</v>
      </c>
      <c r="AI8" s="121" t="s">
        <v>285</v>
      </c>
      <c r="AJ8" s="14"/>
      <c r="AK8" s="14"/>
      <c r="AL8" s="14"/>
      <c r="AM8" s="14"/>
      <c r="AN8" s="14"/>
      <c r="AO8" s="14"/>
      <c r="AP8" s="14"/>
      <c r="AQ8" s="14"/>
      <c r="AR8" s="14"/>
      <c r="AS8" s="14"/>
      <c r="AT8" s="14"/>
      <c r="AU8" s="24" t="str">
        <f>IF($B8="","","BATs-"&amp;TEXT(COUNTIF($B8:$B$8,"?*"),"000"))</f>
        <v>BATs-001</v>
      </c>
      <c r="AV8" s="14" t="s">
        <v>143</v>
      </c>
      <c r="AW8" s="14" t="s">
        <v>279</v>
      </c>
      <c r="AX8" s="14"/>
      <c r="AY8" s="14"/>
      <c r="BA8" s="65" t="s">
        <v>287</v>
      </c>
    </row>
    <row r="9" spans="1:53" ht="54">
      <c r="A9" s="24" t="str">
        <f>IF($B9="","","BATs-"&amp;TEXT(COUNTIF($B$8:$B9,"?*"),"000"))</f>
        <v>BATs-002</v>
      </c>
      <c r="B9" s="14" t="s">
        <v>143</v>
      </c>
      <c r="C9" s="14" t="s">
        <v>288</v>
      </c>
      <c r="D9" s="141" t="s">
        <v>289</v>
      </c>
      <c r="E9" s="52" t="s">
        <v>281</v>
      </c>
      <c r="F9" s="31" t="s">
        <v>119</v>
      </c>
      <c r="G9" s="114" t="s">
        <v>290</v>
      </c>
      <c r="H9" s="31"/>
      <c r="I9" s="31" t="s">
        <v>291</v>
      </c>
      <c r="J9" s="31"/>
      <c r="K9" s="16"/>
      <c r="L9" s="16"/>
      <c r="M9" s="16"/>
      <c r="N9" s="16"/>
      <c r="O9" s="16"/>
      <c r="P9" s="121" t="s">
        <v>285</v>
      </c>
      <c r="Q9" s="14"/>
      <c r="R9" s="16"/>
      <c r="S9" s="121" t="s">
        <v>286</v>
      </c>
      <c r="T9" s="122" t="s">
        <v>285</v>
      </c>
      <c r="U9" s="121" t="s">
        <v>285</v>
      </c>
      <c r="V9" s="122" t="s">
        <v>285</v>
      </c>
      <c r="W9" s="14"/>
      <c r="X9" s="73" t="s">
        <v>285</v>
      </c>
      <c r="Y9" s="14"/>
      <c r="Z9" s="14"/>
      <c r="AA9" s="14"/>
      <c r="AB9" s="14"/>
      <c r="AC9" s="14"/>
      <c r="AD9" s="14"/>
      <c r="AE9" s="14"/>
      <c r="AF9" s="14"/>
      <c r="AG9" s="14"/>
      <c r="AH9" s="14"/>
      <c r="AI9" s="14"/>
      <c r="AJ9" s="14"/>
      <c r="AK9" s="14"/>
      <c r="AL9" s="14"/>
      <c r="AM9" s="14"/>
      <c r="AN9" s="14"/>
      <c r="AO9" s="14"/>
      <c r="AP9" s="14"/>
      <c r="AQ9" s="14"/>
      <c r="AR9" s="14"/>
      <c r="AS9" s="14"/>
      <c r="AT9" s="14"/>
      <c r="AU9" s="24" t="str">
        <f>IF($B9="","","BATs-"&amp;TEXT(COUNTIF($B$8:$B9,"?*"),"000"))</f>
        <v>BATs-002</v>
      </c>
      <c r="AV9" s="14" t="s">
        <v>143</v>
      </c>
      <c r="AW9" s="14" t="s">
        <v>288</v>
      </c>
      <c r="AX9" s="14"/>
      <c r="AY9" s="14"/>
      <c r="BA9" s="65" t="s">
        <v>292</v>
      </c>
    </row>
    <row r="10" spans="1:53" ht="210">
      <c r="A10" s="24" t="str">
        <f>IF($B10="","","BATs-"&amp;TEXT(COUNTIF($B$8:$B10,"?*"),"000"))</f>
        <v>BATs-003</v>
      </c>
      <c r="B10" s="14" t="s">
        <v>143</v>
      </c>
      <c r="C10" s="56" t="s">
        <v>293</v>
      </c>
      <c r="D10" s="141" t="s">
        <v>294</v>
      </c>
      <c r="E10" s="52" t="s">
        <v>281</v>
      </c>
      <c r="F10" s="31" t="s">
        <v>119</v>
      </c>
      <c r="G10" s="31" t="s">
        <v>295</v>
      </c>
      <c r="H10" s="31" t="s">
        <v>296</v>
      </c>
      <c r="I10" s="50" t="s">
        <v>297</v>
      </c>
      <c r="J10" s="31"/>
      <c r="K10" s="65" t="s">
        <v>298</v>
      </c>
      <c r="L10" s="16"/>
      <c r="M10" s="16"/>
      <c r="N10" s="16"/>
      <c r="O10" s="121" t="s">
        <v>285</v>
      </c>
      <c r="P10" s="16"/>
      <c r="Q10" s="14"/>
      <c r="R10" s="122" t="s">
        <v>285</v>
      </c>
      <c r="S10" s="14"/>
      <c r="T10" s="14"/>
      <c r="U10" s="73" t="s">
        <v>285</v>
      </c>
      <c r="V10" s="122" t="s">
        <v>285</v>
      </c>
      <c r="W10" s="121" t="s">
        <v>285</v>
      </c>
      <c r="X10" s="73" t="s">
        <v>285</v>
      </c>
      <c r="Y10" s="14"/>
      <c r="Z10" s="73" t="s">
        <v>285</v>
      </c>
      <c r="AA10" s="73" t="s">
        <v>285</v>
      </c>
      <c r="AB10" s="73"/>
      <c r="AC10" s="73"/>
      <c r="AD10" s="73" t="s">
        <v>285</v>
      </c>
      <c r="AE10" s="73"/>
      <c r="AF10" s="73"/>
      <c r="AG10" s="122" t="s">
        <v>285</v>
      </c>
      <c r="AH10" s="14"/>
      <c r="AI10" s="14"/>
      <c r="AJ10" s="14"/>
      <c r="AK10" s="14"/>
      <c r="AL10" s="14"/>
      <c r="AM10" s="14"/>
      <c r="AN10" s="122" t="s">
        <v>285</v>
      </c>
      <c r="AO10" s="14"/>
      <c r="AP10" s="14"/>
      <c r="AQ10" s="122" t="s">
        <v>285</v>
      </c>
      <c r="AR10" s="122" t="s">
        <v>285</v>
      </c>
      <c r="AS10" s="122" t="s">
        <v>285</v>
      </c>
      <c r="AT10" s="123"/>
      <c r="AU10" s="24" t="str">
        <f>IF($B10="","","BATs-"&amp;TEXT(COUNTIF($B$8:$B10,"?*"),"000"))</f>
        <v>BATs-003</v>
      </c>
      <c r="AV10" s="14" t="s">
        <v>143</v>
      </c>
      <c r="AW10" s="56" t="s">
        <v>293</v>
      </c>
      <c r="AX10" s="14"/>
      <c r="AY10" s="14"/>
      <c r="BA10" s="65" t="s">
        <v>299</v>
      </c>
    </row>
    <row r="11" spans="1:53" ht="90">
      <c r="A11" s="24" t="str">
        <f>IF($B11="","","BATs-"&amp;TEXT(COUNTIF($B$8:$B11,"?*"),"000"))</f>
        <v>BATs-004</v>
      </c>
      <c r="B11" s="14" t="s">
        <v>143</v>
      </c>
      <c r="C11" s="56" t="s">
        <v>293</v>
      </c>
      <c r="D11" s="14" t="s">
        <v>300</v>
      </c>
      <c r="E11" s="52" t="s">
        <v>281</v>
      </c>
      <c r="F11" s="31" t="s">
        <v>119</v>
      </c>
      <c r="G11" s="31" t="s">
        <v>301</v>
      </c>
      <c r="H11" s="31" t="s">
        <v>302</v>
      </c>
      <c r="I11" s="50" t="s">
        <v>291</v>
      </c>
      <c r="J11" s="31"/>
      <c r="K11" s="66" t="s">
        <v>303</v>
      </c>
      <c r="L11" s="16"/>
      <c r="M11" s="16"/>
      <c r="N11" s="16"/>
      <c r="O11" s="16" t="s">
        <v>285</v>
      </c>
      <c r="P11" s="16"/>
      <c r="Q11" s="14"/>
      <c r="R11" s="73" t="s">
        <v>285</v>
      </c>
      <c r="S11" s="14"/>
      <c r="T11" s="14"/>
      <c r="U11" s="73" t="s">
        <v>285</v>
      </c>
      <c r="V11" s="73" t="s">
        <v>285</v>
      </c>
      <c r="W11" s="16" t="s">
        <v>285</v>
      </c>
      <c r="X11" s="73" t="s">
        <v>285</v>
      </c>
      <c r="Y11" s="14"/>
      <c r="Z11" s="73" t="s">
        <v>285</v>
      </c>
      <c r="AA11" s="73" t="s">
        <v>285</v>
      </c>
      <c r="AB11" s="73"/>
      <c r="AC11" s="73"/>
      <c r="AD11" s="73" t="s">
        <v>285</v>
      </c>
      <c r="AE11" s="73"/>
      <c r="AF11" s="73"/>
      <c r="AG11" s="73" t="s">
        <v>285</v>
      </c>
      <c r="AH11" s="14"/>
      <c r="AI11" s="14"/>
      <c r="AJ11" s="14"/>
      <c r="AK11" s="14"/>
      <c r="AL11" s="14"/>
      <c r="AM11" s="14"/>
      <c r="AN11" s="73" t="s">
        <v>285</v>
      </c>
      <c r="AO11" s="14"/>
      <c r="AP11" s="14"/>
      <c r="AQ11" s="73" t="s">
        <v>285</v>
      </c>
      <c r="AR11" s="73" t="s">
        <v>285</v>
      </c>
      <c r="AS11" s="73" t="s">
        <v>285</v>
      </c>
      <c r="AT11" s="14"/>
      <c r="AU11" s="24" t="str">
        <f>IF($B11="","","BATs-"&amp;TEXT(COUNTIF($B$8:$B11,"?*"),"000"))</f>
        <v>BATs-004</v>
      </c>
      <c r="AV11" s="14" t="s">
        <v>143</v>
      </c>
      <c r="AW11" s="56" t="s">
        <v>293</v>
      </c>
      <c r="AX11" s="14"/>
      <c r="AY11" s="14"/>
      <c r="BA11" s="65" t="s">
        <v>304</v>
      </c>
    </row>
    <row r="12" spans="1:53" ht="225">
      <c r="A12" s="24" t="str">
        <f>IF($B12="","","BATs-"&amp;TEXT(COUNTIF($B$8:$B12,"?*"),"000"))</f>
        <v>BATs-005</v>
      </c>
      <c r="B12" s="14" t="s">
        <v>143</v>
      </c>
      <c r="C12" s="14" t="s">
        <v>305</v>
      </c>
      <c r="D12" s="14" t="s">
        <v>306</v>
      </c>
      <c r="E12" s="52" t="s">
        <v>281</v>
      </c>
      <c r="F12" s="31" t="s">
        <v>119</v>
      </c>
      <c r="G12" s="31" t="s">
        <v>307</v>
      </c>
      <c r="H12" s="31" t="s">
        <v>308</v>
      </c>
      <c r="I12" s="31"/>
      <c r="J12" s="31"/>
      <c r="K12" s="66" t="s">
        <v>309</v>
      </c>
      <c r="L12" s="16" t="s">
        <v>285</v>
      </c>
      <c r="M12" s="73" t="s">
        <v>285</v>
      </c>
      <c r="N12" s="73" t="s">
        <v>285</v>
      </c>
      <c r="O12" s="16" t="s">
        <v>285</v>
      </c>
      <c r="P12" s="16" t="s">
        <v>285</v>
      </c>
      <c r="Q12" s="14"/>
      <c r="R12" s="73" t="s">
        <v>285</v>
      </c>
      <c r="S12" s="16" t="s">
        <v>285</v>
      </c>
      <c r="T12" s="16" t="s">
        <v>285</v>
      </c>
      <c r="U12" s="73" t="s">
        <v>285</v>
      </c>
      <c r="V12" s="73" t="s">
        <v>285</v>
      </c>
      <c r="W12" s="16" t="s">
        <v>285</v>
      </c>
      <c r="X12" s="73"/>
      <c r="Y12" s="14"/>
      <c r="Z12" s="14"/>
      <c r="AA12" s="14"/>
      <c r="AB12" s="14"/>
      <c r="AC12" s="14"/>
      <c r="AD12" s="14"/>
      <c r="AE12" s="14"/>
      <c r="AF12" s="14"/>
      <c r="AG12" s="14"/>
      <c r="AH12" s="14"/>
      <c r="AI12" s="14"/>
      <c r="AJ12" s="122" t="s">
        <v>285</v>
      </c>
      <c r="AK12" s="122" t="s">
        <v>285</v>
      </c>
      <c r="AL12" s="14"/>
      <c r="AM12" s="14"/>
      <c r="AN12" s="16" t="s">
        <v>285</v>
      </c>
      <c r="AO12" s="73" t="s">
        <v>285</v>
      </c>
      <c r="AP12" s="14"/>
      <c r="AQ12" s="14"/>
      <c r="AR12" s="14"/>
      <c r="AS12" s="16" t="s">
        <v>285</v>
      </c>
      <c r="AT12" s="16"/>
      <c r="AU12" s="24" t="str">
        <f>IF($B12="","","BATs-"&amp;TEXT(COUNTIF($B$8:$B12,"?*"),"000"))</f>
        <v>BATs-005</v>
      </c>
      <c r="AV12" s="14" t="s">
        <v>143</v>
      </c>
      <c r="AW12" s="14" t="s">
        <v>305</v>
      </c>
      <c r="AX12" s="14"/>
      <c r="AY12" s="14"/>
      <c r="BA12" s="65" t="s">
        <v>310</v>
      </c>
    </row>
    <row r="13" spans="1:53" s="79" customFormat="1" ht="72">
      <c r="A13" s="75" t="str">
        <f>IF($B13="","","BATs-"&amp;TEXT(COUNTIF($B$8:$B13,"?*"),"000"))</f>
        <v>BATs-006</v>
      </c>
      <c r="B13" s="74" t="s">
        <v>143</v>
      </c>
      <c r="C13" s="74" t="s">
        <v>311</v>
      </c>
      <c r="D13" s="74" t="s">
        <v>312</v>
      </c>
      <c r="E13" s="76" t="s">
        <v>313</v>
      </c>
      <c r="F13" s="31" t="s">
        <v>119</v>
      </c>
      <c r="G13" s="74" t="s">
        <v>314</v>
      </c>
      <c r="H13" s="74"/>
      <c r="I13" s="74"/>
      <c r="J13" s="74"/>
      <c r="K13" s="78" t="s">
        <v>315</v>
      </c>
      <c r="L13" s="77"/>
      <c r="M13" s="77"/>
      <c r="N13" s="77"/>
      <c r="O13" s="77" t="s">
        <v>285</v>
      </c>
      <c r="P13" s="77"/>
      <c r="Q13" s="74"/>
      <c r="R13" s="77"/>
      <c r="S13" s="74"/>
      <c r="T13" s="74"/>
      <c r="U13" s="74"/>
      <c r="V13" s="74"/>
      <c r="W13" s="77" t="s">
        <v>285</v>
      </c>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5" t="str">
        <f>IF($B13="","","BATs-"&amp;TEXT(COUNTIF($B$8:$B13,"?*"),"000"))</f>
        <v>BATs-006</v>
      </c>
      <c r="AV13" s="74" t="s">
        <v>143</v>
      </c>
      <c r="AW13" s="74" t="s">
        <v>311</v>
      </c>
      <c r="AX13" s="74"/>
      <c r="AY13" s="74"/>
      <c r="BA13" s="78" t="s">
        <v>316</v>
      </c>
    </row>
    <row r="14" spans="1:53" ht="90">
      <c r="A14" s="24" t="str">
        <f>IF($B14="","","BATs-"&amp;TEXT(COUNTIF($B$8:$B14,"?*"),"000"))</f>
        <v>BATs-007</v>
      </c>
      <c r="B14" s="14" t="s">
        <v>143</v>
      </c>
      <c r="C14" s="14" t="s">
        <v>317</v>
      </c>
      <c r="D14" s="141" t="s">
        <v>318</v>
      </c>
      <c r="E14" s="52" t="s">
        <v>281</v>
      </c>
      <c r="F14" s="31" t="s">
        <v>119</v>
      </c>
      <c r="G14" s="114" t="s">
        <v>319</v>
      </c>
      <c r="H14" s="31" t="s">
        <v>320</v>
      </c>
      <c r="I14" s="31" t="s">
        <v>321</v>
      </c>
      <c r="J14" s="31"/>
      <c r="K14" s="16"/>
      <c r="L14" s="16"/>
      <c r="M14" s="16"/>
      <c r="N14" s="73"/>
      <c r="O14" s="16"/>
      <c r="P14" s="16"/>
      <c r="Q14" s="14"/>
      <c r="R14" s="16"/>
      <c r="S14" s="14"/>
      <c r="T14" s="14"/>
      <c r="U14" s="73" t="s">
        <v>285</v>
      </c>
      <c r="V14" s="14"/>
      <c r="W14" s="14"/>
      <c r="X14" s="73" t="s">
        <v>285</v>
      </c>
      <c r="Y14" s="16" t="s">
        <v>285</v>
      </c>
      <c r="Z14" s="14"/>
      <c r="AA14" s="14"/>
      <c r="AB14" s="14"/>
      <c r="AC14" s="14"/>
      <c r="AD14" s="14"/>
      <c r="AE14" s="14"/>
      <c r="AF14" s="14"/>
      <c r="AG14" s="14"/>
      <c r="AH14" s="14"/>
      <c r="AI14" s="14"/>
      <c r="AJ14" s="73" t="s">
        <v>285</v>
      </c>
      <c r="AK14" s="73" t="s">
        <v>285</v>
      </c>
      <c r="AL14" s="14"/>
      <c r="AM14" s="14"/>
      <c r="AN14" s="14"/>
      <c r="AO14" s="14"/>
      <c r="AP14" s="14"/>
      <c r="AQ14" s="14"/>
      <c r="AR14" s="14"/>
      <c r="AS14" s="14"/>
      <c r="AT14" s="14"/>
      <c r="AU14" s="24" t="str">
        <f>IF($B14="","","BATs-"&amp;TEXT(COUNTIF($B$8:$B14,"?*"),"000"))</f>
        <v>BATs-007</v>
      </c>
      <c r="AV14" s="14" t="s">
        <v>143</v>
      </c>
      <c r="AW14" s="14" t="s">
        <v>317</v>
      </c>
      <c r="AX14" s="14"/>
      <c r="AY14" s="14"/>
      <c r="BA14" s="65" t="s">
        <v>322</v>
      </c>
    </row>
    <row r="15" spans="1:53" ht="36">
      <c r="A15" s="24" t="str">
        <f>IF($B15="","","BATs-"&amp;TEXT(COUNTIF($B$8:$B15,"?*"),"000"))</f>
        <v>BATs-008</v>
      </c>
      <c r="B15" s="14" t="s">
        <v>143</v>
      </c>
      <c r="C15" s="14" t="s">
        <v>323</v>
      </c>
      <c r="D15" s="141" t="s">
        <v>324</v>
      </c>
      <c r="E15" s="52" t="s">
        <v>281</v>
      </c>
      <c r="F15" s="31" t="s">
        <v>119</v>
      </c>
      <c r="G15" s="114" t="s">
        <v>325</v>
      </c>
      <c r="H15" s="55" t="s">
        <v>326</v>
      </c>
      <c r="I15" s="31" t="s">
        <v>327</v>
      </c>
      <c r="J15" s="31"/>
      <c r="K15" s="16"/>
      <c r="L15" s="16"/>
      <c r="M15" s="16"/>
      <c r="N15" s="16"/>
      <c r="O15" s="16"/>
      <c r="P15" s="16"/>
      <c r="Q15" s="14"/>
      <c r="R15" s="73" t="s">
        <v>285</v>
      </c>
      <c r="S15" s="14"/>
      <c r="T15" s="14"/>
      <c r="U15" s="14"/>
      <c r="V15" s="73" t="s">
        <v>285</v>
      </c>
      <c r="W15" s="14"/>
      <c r="X15" s="73"/>
      <c r="Y15" s="14"/>
      <c r="Z15" s="14"/>
      <c r="AA15" s="14"/>
      <c r="AB15" s="14"/>
      <c r="AC15" s="14"/>
      <c r="AD15" s="14"/>
      <c r="AE15" s="14"/>
      <c r="AF15" s="14"/>
      <c r="AG15" s="14"/>
      <c r="AH15" s="14"/>
      <c r="AI15" s="14"/>
      <c r="AJ15" s="14"/>
      <c r="AK15" s="14"/>
      <c r="AL15" s="14"/>
      <c r="AM15" s="14"/>
      <c r="AN15" s="14"/>
      <c r="AO15" s="14"/>
      <c r="AP15" s="14"/>
      <c r="AQ15" s="14"/>
      <c r="AR15" s="14"/>
      <c r="AS15" s="14"/>
      <c r="AT15" s="14"/>
      <c r="AU15" s="24" t="str">
        <f>IF($B15="","","BATs-"&amp;TEXT(COUNTIF($B$8:$B15,"?*"),"000"))</f>
        <v>BATs-008</v>
      </c>
      <c r="AV15" s="14" t="s">
        <v>143</v>
      </c>
      <c r="AW15" s="14" t="s">
        <v>328</v>
      </c>
      <c r="AX15" s="14"/>
      <c r="AY15" s="14"/>
      <c r="BA15" s="65" t="s">
        <v>329</v>
      </c>
    </row>
    <row r="16" spans="1:53" ht="120">
      <c r="A16" s="24" t="str">
        <f>IF($B16="","","BATs-"&amp;TEXT(COUNTIF($B$8:$B16,"?*"),"000"))</f>
        <v>BATs-009</v>
      </c>
      <c r="B16" s="14" t="s">
        <v>143</v>
      </c>
      <c r="C16" s="14" t="s">
        <v>330</v>
      </c>
      <c r="D16" s="141" t="s">
        <v>331</v>
      </c>
      <c r="E16" s="52" t="s">
        <v>281</v>
      </c>
      <c r="F16" s="31" t="s">
        <v>119</v>
      </c>
      <c r="G16" s="114" t="s">
        <v>332</v>
      </c>
      <c r="H16" s="31" t="s">
        <v>333</v>
      </c>
      <c r="I16" s="31" t="s">
        <v>334</v>
      </c>
      <c r="J16" s="31"/>
      <c r="K16" s="16"/>
      <c r="L16" s="16"/>
      <c r="M16" s="16"/>
      <c r="N16" s="16"/>
      <c r="O16" s="73" t="s">
        <v>285</v>
      </c>
      <c r="P16" s="73" t="s">
        <v>285</v>
      </c>
      <c r="Q16" s="14"/>
      <c r="R16" s="73" t="s">
        <v>285</v>
      </c>
      <c r="S16" s="73" t="s">
        <v>285</v>
      </c>
      <c r="T16" s="16" t="s">
        <v>286</v>
      </c>
      <c r="U16" s="14"/>
      <c r="V16" s="73" t="s">
        <v>285</v>
      </c>
      <c r="W16" s="16" t="s">
        <v>286</v>
      </c>
      <c r="X16" s="73" t="s">
        <v>285</v>
      </c>
      <c r="Y16" s="14"/>
      <c r="Z16" s="14"/>
      <c r="AA16" s="14"/>
      <c r="AB16" s="14"/>
      <c r="AC16" s="14"/>
      <c r="AD16" s="14"/>
      <c r="AE16" s="14"/>
      <c r="AF16" s="16"/>
      <c r="AG16" s="14"/>
      <c r="AH16" s="14"/>
      <c r="AI16" s="14"/>
      <c r="AJ16" s="14"/>
      <c r="AK16" s="14"/>
      <c r="AL16" s="14"/>
      <c r="AM16" s="14"/>
      <c r="AN16" s="14"/>
      <c r="AO16" s="14"/>
      <c r="AP16" s="14"/>
      <c r="AQ16" s="14"/>
      <c r="AR16" s="14"/>
      <c r="AS16" s="16" t="s">
        <v>286</v>
      </c>
      <c r="AT16" s="14"/>
      <c r="AU16" s="24" t="str">
        <f>IF($B16="","","BATs-"&amp;TEXT(COUNTIF($B$8:$B16,"?*"),"000"))</f>
        <v>BATs-009</v>
      </c>
      <c r="AV16" s="14" t="s">
        <v>143</v>
      </c>
      <c r="AW16" s="14" t="s">
        <v>330</v>
      </c>
      <c r="AX16" s="14"/>
      <c r="AY16" s="14"/>
      <c r="BA16" s="65" t="s">
        <v>304</v>
      </c>
    </row>
    <row r="17" spans="1:53" ht="65.150000000000006" customHeight="1">
      <c r="A17" s="24" t="str">
        <f>IF($B17="","","BATs-"&amp;TEXT(COUNTIF($B$8:$B17,"?*"),"000"))</f>
        <v>BATs-010</v>
      </c>
      <c r="B17" s="14" t="s">
        <v>143</v>
      </c>
      <c r="C17" s="14" t="s">
        <v>335</v>
      </c>
      <c r="D17" s="14" t="s">
        <v>336</v>
      </c>
      <c r="E17" s="52" t="s">
        <v>281</v>
      </c>
      <c r="F17" s="31" t="s">
        <v>119</v>
      </c>
      <c r="G17" s="114" t="s">
        <v>337</v>
      </c>
      <c r="H17" s="31"/>
      <c r="I17" s="31"/>
      <c r="J17" s="31"/>
      <c r="K17" s="16"/>
      <c r="L17" s="16"/>
      <c r="M17" s="16"/>
      <c r="N17" s="16"/>
      <c r="O17" s="16"/>
      <c r="P17" s="73" t="s">
        <v>285</v>
      </c>
      <c r="Q17" s="14"/>
      <c r="R17" s="16"/>
      <c r="S17" s="16" t="s">
        <v>286</v>
      </c>
      <c r="T17" s="73" t="s">
        <v>285</v>
      </c>
      <c r="U17" s="73" t="s">
        <v>285</v>
      </c>
      <c r="V17" s="73" t="s">
        <v>285</v>
      </c>
      <c r="W17" s="14"/>
      <c r="X17" s="73"/>
      <c r="Y17" s="14"/>
      <c r="Z17" s="14"/>
      <c r="AA17" s="14"/>
      <c r="AB17" s="14"/>
      <c r="AC17" s="14"/>
      <c r="AD17" s="14"/>
      <c r="AE17" s="14"/>
      <c r="AF17" s="14"/>
      <c r="AG17" s="14"/>
      <c r="AH17" s="14"/>
      <c r="AI17" s="73" t="s">
        <v>285</v>
      </c>
      <c r="AJ17" s="14"/>
      <c r="AK17" s="14"/>
      <c r="AL17" s="14"/>
      <c r="AM17" s="14"/>
      <c r="AN17" s="14"/>
      <c r="AO17" s="14"/>
      <c r="AP17" s="14"/>
      <c r="AQ17" s="14"/>
      <c r="AR17" s="14"/>
      <c r="AS17" s="14"/>
      <c r="AT17" s="14"/>
      <c r="AU17" s="24" t="str">
        <f>IF($B17="","","BATs-"&amp;TEXT(COUNTIF($B$8:$B17,"?*"),"000"))</f>
        <v>BATs-010</v>
      </c>
      <c r="AV17" s="14" t="s">
        <v>143</v>
      </c>
      <c r="AW17" s="14" t="s">
        <v>335</v>
      </c>
      <c r="AX17" s="14"/>
      <c r="AY17" s="14"/>
      <c r="BA17" s="65" t="s">
        <v>338</v>
      </c>
    </row>
    <row r="18" spans="1:53" ht="30">
      <c r="A18" s="24" t="str">
        <f>IF($B18="","","BATs-"&amp;TEXT(COUNTIF($B$8:$B18,"?*"),"000"))</f>
        <v>BATs-011</v>
      </c>
      <c r="B18" s="14" t="s">
        <v>143</v>
      </c>
      <c r="C18" s="14" t="s">
        <v>339</v>
      </c>
      <c r="D18" s="127" t="s">
        <v>340</v>
      </c>
      <c r="E18" s="52" t="s">
        <v>281</v>
      </c>
      <c r="F18" s="31" t="s">
        <v>119</v>
      </c>
      <c r="G18" s="114" t="s">
        <v>341</v>
      </c>
      <c r="H18" s="31"/>
      <c r="I18" s="31" t="s">
        <v>342</v>
      </c>
      <c r="J18" s="31"/>
      <c r="K18" s="16"/>
      <c r="L18" s="16"/>
      <c r="M18" s="16"/>
      <c r="N18" s="16"/>
      <c r="O18" s="16"/>
      <c r="P18" s="16"/>
      <c r="Q18" s="14"/>
      <c r="R18" s="16"/>
      <c r="S18" s="67" t="s">
        <v>286</v>
      </c>
      <c r="T18" s="73" t="s">
        <v>285</v>
      </c>
      <c r="U18" s="14"/>
      <c r="V18" s="14"/>
      <c r="W18" s="14"/>
      <c r="X18" s="73" t="s">
        <v>285</v>
      </c>
      <c r="Y18" s="14"/>
      <c r="Z18" s="14"/>
      <c r="AA18" s="14"/>
      <c r="AB18" s="14"/>
      <c r="AC18" s="14"/>
      <c r="AD18" s="14"/>
      <c r="AE18" s="14"/>
      <c r="AF18" s="14"/>
      <c r="AG18" s="14"/>
      <c r="AH18" s="14"/>
      <c r="AI18" s="73"/>
      <c r="AJ18" s="14"/>
      <c r="AK18" s="14"/>
      <c r="AL18" s="14"/>
      <c r="AM18" s="14"/>
      <c r="AN18" s="14"/>
      <c r="AO18" s="14"/>
      <c r="AP18" s="14"/>
      <c r="AQ18" s="14"/>
      <c r="AR18" s="14"/>
      <c r="AS18" s="14"/>
      <c r="AT18" s="14"/>
      <c r="AU18" s="24" t="str">
        <f>IF($B18="","","BATs-"&amp;TEXT(COUNTIF($B$8:$B18,"?*"),"000"))</f>
        <v>BATs-011</v>
      </c>
      <c r="AV18" s="14" t="s">
        <v>143</v>
      </c>
      <c r="AW18" s="14" t="s">
        <v>339</v>
      </c>
      <c r="AX18" s="14"/>
      <c r="AY18" s="14"/>
      <c r="BA18" s="65" t="s">
        <v>304</v>
      </c>
    </row>
    <row r="19" spans="1:53" ht="30">
      <c r="A19" s="24" t="str">
        <f>IF($B19="","","BATs-"&amp;TEXT(COUNTIF($B$8:$B19,"?*"),"000"))</f>
        <v>BATs-012</v>
      </c>
      <c r="B19" s="14" t="s">
        <v>143</v>
      </c>
      <c r="C19" s="14" t="s">
        <v>343</v>
      </c>
      <c r="D19" s="31" t="s">
        <v>344</v>
      </c>
      <c r="E19" s="52" t="s">
        <v>281</v>
      </c>
      <c r="F19" s="31" t="s">
        <v>119</v>
      </c>
      <c r="G19" s="114" t="s">
        <v>345</v>
      </c>
      <c r="H19" s="31"/>
      <c r="I19" s="31" t="s">
        <v>345</v>
      </c>
      <c r="J19" s="31"/>
      <c r="K19" s="16"/>
      <c r="L19" s="16"/>
      <c r="M19" s="16"/>
      <c r="N19" s="16"/>
      <c r="O19" s="16"/>
      <c r="P19" s="16"/>
      <c r="Q19" s="14"/>
      <c r="R19" s="16"/>
      <c r="S19" s="16" t="s">
        <v>286</v>
      </c>
      <c r="T19" s="73" t="s">
        <v>285</v>
      </c>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24" t="str">
        <f>IF($B19="","","BATs-"&amp;TEXT(COUNTIF($B$8:$B19,"?*"),"000"))</f>
        <v>BATs-012</v>
      </c>
      <c r="AV19" s="14" t="s">
        <v>143</v>
      </c>
      <c r="AW19" s="14" t="s">
        <v>343</v>
      </c>
      <c r="AX19" s="14"/>
      <c r="AY19" s="14"/>
      <c r="BA19" s="65" t="s">
        <v>304</v>
      </c>
    </row>
    <row r="20" spans="1:53" ht="90">
      <c r="A20" s="24" t="str">
        <f>IF($B20="","","BATs-"&amp;TEXT(COUNTIF($B$8:$B20,"?*"),"000"))</f>
        <v>BATs-013</v>
      </c>
      <c r="B20" s="14" t="s">
        <v>143</v>
      </c>
      <c r="C20" s="14" t="s">
        <v>346</v>
      </c>
      <c r="D20" s="14" t="s">
        <v>347</v>
      </c>
      <c r="E20" s="52" t="s">
        <v>281</v>
      </c>
      <c r="F20" s="31" t="s">
        <v>119</v>
      </c>
      <c r="G20" s="31"/>
      <c r="H20" s="31"/>
      <c r="I20" s="31" t="s">
        <v>348</v>
      </c>
      <c r="J20" s="31"/>
      <c r="K20" s="16"/>
      <c r="L20" s="16"/>
      <c r="M20" s="16"/>
      <c r="N20" s="16"/>
      <c r="O20" s="16"/>
      <c r="P20" s="16"/>
      <c r="Q20" s="14"/>
      <c r="R20" s="16"/>
      <c r="S20" s="14"/>
      <c r="T20" s="14"/>
      <c r="U20" s="14"/>
      <c r="V20" s="14"/>
      <c r="W20" s="14"/>
      <c r="X20" s="73" t="s">
        <v>285</v>
      </c>
      <c r="Y20" s="14"/>
      <c r="Z20" s="14"/>
      <c r="AA20" s="14"/>
      <c r="AB20" s="14"/>
      <c r="AC20" s="14"/>
      <c r="AD20" s="14"/>
      <c r="AE20" s="14"/>
      <c r="AF20" s="14"/>
      <c r="AG20" s="14"/>
      <c r="AH20" s="14"/>
      <c r="AI20" s="14"/>
      <c r="AJ20" s="14"/>
      <c r="AK20" s="14"/>
      <c r="AL20" s="14"/>
      <c r="AM20" s="14"/>
      <c r="AN20" s="14"/>
      <c r="AO20" s="14"/>
      <c r="AP20" s="14"/>
      <c r="AQ20" s="14"/>
      <c r="AR20" s="14"/>
      <c r="AS20" s="14"/>
      <c r="AT20" s="14"/>
      <c r="AU20" s="24" t="str">
        <f>IF($B20="","","BATs-"&amp;TEXT(COUNTIF($B$8:$B20,"?*"),"000"))</f>
        <v>BATs-013</v>
      </c>
      <c r="AV20" s="14" t="s">
        <v>143</v>
      </c>
      <c r="AW20" s="14" t="s">
        <v>346</v>
      </c>
      <c r="AX20" s="14"/>
      <c r="AY20" s="14"/>
      <c r="BA20" s="65" t="s">
        <v>349</v>
      </c>
    </row>
    <row r="21" spans="1:53" ht="60">
      <c r="A21" s="24" t="str">
        <f>IF($B21="","","BATs-"&amp;TEXT(COUNTIF($B$8:$B21,"?*"),"000"))</f>
        <v>BATs-014</v>
      </c>
      <c r="B21" s="14" t="s">
        <v>143</v>
      </c>
      <c r="C21" s="59" t="s">
        <v>350</v>
      </c>
      <c r="D21" s="142" t="s">
        <v>351</v>
      </c>
      <c r="E21" s="55" t="s">
        <v>352</v>
      </c>
      <c r="F21" s="31" t="s">
        <v>119</v>
      </c>
      <c r="G21" s="31"/>
      <c r="H21" s="31"/>
      <c r="I21" s="31" t="s">
        <v>353</v>
      </c>
      <c r="J21" s="31"/>
      <c r="K21" s="16" t="s">
        <v>354</v>
      </c>
      <c r="L21" s="16" t="s">
        <v>285</v>
      </c>
      <c r="M21" s="16"/>
      <c r="N21" s="16"/>
      <c r="O21" s="47"/>
      <c r="P21" s="47"/>
      <c r="Q21" s="31"/>
      <c r="R21" s="47"/>
      <c r="S21" s="31"/>
      <c r="T21" s="31"/>
      <c r="U21" s="31"/>
      <c r="V21" s="31"/>
      <c r="W21" s="31"/>
      <c r="X21" s="73" t="s">
        <v>285</v>
      </c>
      <c r="Y21" s="31"/>
      <c r="Z21" s="31"/>
      <c r="AA21" s="31"/>
      <c r="AB21" s="31"/>
      <c r="AC21" s="31"/>
      <c r="AD21" s="31"/>
      <c r="AE21" s="31"/>
      <c r="AF21" s="31"/>
      <c r="AG21" s="31"/>
      <c r="AH21" s="31"/>
      <c r="AI21" s="31"/>
      <c r="AJ21" s="47" t="s">
        <v>285</v>
      </c>
      <c r="AK21" s="47" t="s">
        <v>285</v>
      </c>
      <c r="AL21" s="31"/>
      <c r="AM21" s="31"/>
      <c r="AN21" s="31"/>
      <c r="AO21" s="31"/>
      <c r="AP21" s="31"/>
      <c r="AQ21" s="31"/>
      <c r="AR21" s="31"/>
      <c r="AS21" s="31"/>
      <c r="AT21" s="31"/>
      <c r="AU21" s="24" t="str">
        <f>IF($B21="","","BATs-"&amp;TEXT(COUNTIF($B$8:$B21,"?*"),"000"))</f>
        <v>BATs-014</v>
      </c>
      <c r="AV21" s="14" t="s">
        <v>143</v>
      </c>
      <c r="AW21" s="59" t="s">
        <v>350</v>
      </c>
      <c r="AX21" s="14" t="s">
        <v>355</v>
      </c>
      <c r="AY21" s="14" t="s">
        <v>356</v>
      </c>
      <c r="BA21" s="65" t="s">
        <v>357</v>
      </c>
    </row>
    <row r="22" spans="1:53" ht="45">
      <c r="A22" s="24" t="str">
        <f>IF($B22="","","BATs-"&amp;TEXT(COUNTIF($B$8:$B22,"?*"),"000"))</f>
        <v>BATs-015</v>
      </c>
      <c r="B22" s="14" t="s">
        <v>143</v>
      </c>
      <c r="C22" s="14" t="s">
        <v>358</v>
      </c>
      <c r="D22" s="142" t="s">
        <v>359</v>
      </c>
      <c r="E22" s="52" t="s">
        <v>281</v>
      </c>
      <c r="F22" s="31" t="s">
        <v>119</v>
      </c>
      <c r="G22" s="114" t="s">
        <v>360</v>
      </c>
      <c r="H22" s="31"/>
      <c r="I22" s="31" t="s">
        <v>353</v>
      </c>
      <c r="J22" s="31"/>
      <c r="K22" s="16" t="s">
        <v>354</v>
      </c>
      <c r="L22" s="16" t="s">
        <v>285</v>
      </c>
      <c r="M22" s="73" t="s">
        <v>285</v>
      </c>
      <c r="N22" s="73" t="s">
        <v>285</v>
      </c>
      <c r="O22" s="47"/>
      <c r="P22" s="47"/>
      <c r="Q22" s="31"/>
      <c r="R22" s="47"/>
      <c r="S22" s="31"/>
      <c r="T22" s="31"/>
      <c r="U22" s="73" t="s">
        <v>285</v>
      </c>
      <c r="V22" s="31"/>
      <c r="W22" s="73"/>
      <c r="X22" s="73" t="s">
        <v>285</v>
      </c>
      <c r="Y22" s="31"/>
      <c r="Z22" s="31"/>
      <c r="AA22" s="31"/>
      <c r="AB22" s="31"/>
      <c r="AC22" s="31"/>
      <c r="AD22" s="31"/>
      <c r="AE22" s="31"/>
      <c r="AF22" s="73"/>
      <c r="AG22" s="31"/>
      <c r="AH22" s="31"/>
      <c r="AI22" s="31"/>
      <c r="AJ22" s="73" t="s">
        <v>285</v>
      </c>
      <c r="AK22" s="73" t="s">
        <v>285</v>
      </c>
      <c r="AL22" s="31"/>
      <c r="AM22" s="31"/>
      <c r="AN22" s="73" t="s">
        <v>285</v>
      </c>
      <c r="AO22" s="73" t="s">
        <v>285</v>
      </c>
      <c r="AP22" s="31"/>
      <c r="AQ22" s="31"/>
      <c r="AR22" s="31"/>
      <c r="AS22" s="31"/>
      <c r="AT22" s="31"/>
      <c r="AU22" s="24" t="str">
        <f>IF($B22="","","BATs-"&amp;TEXT(COUNTIF($B$8:$B22,"?*"),"000"))</f>
        <v>BATs-015</v>
      </c>
      <c r="AV22" s="14" t="s">
        <v>143</v>
      </c>
      <c r="AW22" s="14" t="s">
        <v>361</v>
      </c>
      <c r="AX22" s="14" t="s">
        <v>362</v>
      </c>
      <c r="AY22" s="14" t="s">
        <v>363</v>
      </c>
      <c r="BA22" s="65" t="s">
        <v>364</v>
      </c>
    </row>
    <row r="23" spans="1:53" ht="30.65" customHeight="1">
      <c r="A23" s="24" t="str">
        <f>IF($B23="","","BATs-"&amp;TEXT(COUNTIF($B$8:$B23,"?*"),"000"))</f>
        <v>BATs-016</v>
      </c>
      <c r="B23" s="14" t="s">
        <v>143</v>
      </c>
      <c r="C23" s="14" t="s">
        <v>365</v>
      </c>
      <c r="D23" s="141" t="s">
        <v>366</v>
      </c>
      <c r="E23" s="53" t="s">
        <v>367</v>
      </c>
      <c r="F23" s="31" t="s">
        <v>119</v>
      </c>
      <c r="G23" s="114" t="s">
        <v>368</v>
      </c>
      <c r="H23" s="31"/>
      <c r="I23" s="31" t="s">
        <v>369</v>
      </c>
      <c r="J23" s="31"/>
      <c r="K23" s="16"/>
      <c r="L23" s="47"/>
      <c r="M23" s="47"/>
      <c r="N23" s="47"/>
      <c r="O23" s="47"/>
      <c r="P23" s="47"/>
      <c r="Q23" s="31"/>
      <c r="R23" s="47"/>
      <c r="S23" s="16" t="s">
        <v>286</v>
      </c>
      <c r="T23" s="16"/>
      <c r="U23" s="31"/>
      <c r="V23" s="73" t="s">
        <v>285</v>
      </c>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24" t="str">
        <f>IF($B23="","","BATs-"&amp;TEXT(COUNTIF($B$8:$B23,"?*"),"000"))</f>
        <v>BATs-016</v>
      </c>
      <c r="AV23" s="14" t="s">
        <v>143</v>
      </c>
      <c r="AW23" s="14" t="s">
        <v>365</v>
      </c>
      <c r="AX23" s="14"/>
      <c r="AY23" s="14"/>
      <c r="BA23" s="65" t="s">
        <v>370</v>
      </c>
    </row>
    <row r="24" spans="1:53" ht="30">
      <c r="A24" s="24" t="str">
        <f>IF($B24="","","BATs-"&amp;TEXT(COUNTIF($B$8:$B24,"?*"),"000"))</f>
        <v>BATs-017</v>
      </c>
      <c r="B24" s="14" t="s">
        <v>143</v>
      </c>
      <c r="C24" s="14" t="s">
        <v>371</v>
      </c>
      <c r="D24" s="141" t="s">
        <v>372</v>
      </c>
      <c r="E24" s="54" t="s">
        <v>373</v>
      </c>
      <c r="F24" s="31" t="s">
        <v>119</v>
      </c>
      <c r="G24" s="114" t="s">
        <v>374</v>
      </c>
      <c r="H24" s="31"/>
      <c r="I24" s="31" t="s">
        <v>375</v>
      </c>
      <c r="J24" s="31"/>
      <c r="K24" s="16"/>
      <c r="L24" s="47"/>
      <c r="M24" s="47"/>
      <c r="N24" s="47"/>
      <c r="O24" s="47"/>
      <c r="P24" s="16" t="s">
        <v>285</v>
      </c>
      <c r="Q24" s="31"/>
      <c r="R24" s="16" t="s">
        <v>285</v>
      </c>
      <c r="S24" s="67" t="s">
        <v>286</v>
      </c>
      <c r="T24" s="67"/>
      <c r="U24" s="16" t="s">
        <v>285</v>
      </c>
      <c r="V24" s="16" t="s">
        <v>285</v>
      </c>
      <c r="W24" s="31"/>
      <c r="X24" s="16" t="s">
        <v>285</v>
      </c>
      <c r="Y24" s="31"/>
      <c r="Z24" s="31"/>
      <c r="AA24" s="31"/>
      <c r="AB24" s="31"/>
      <c r="AC24" s="31"/>
      <c r="AD24" s="31"/>
      <c r="AE24" s="31"/>
      <c r="AF24" s="31"/>
      <c r="AG24" s="31"/>
      <c r="AH24" s="31"/>
      <c r="AI24" s="73" t="s">
        <v>285</v>
      </c>
      <c r="AJ24" s="31"/>
      <c r="AK24" s="31"/>
      <c r="AL24" s="31"/>
      <c r="AM24" s="31"/>
      <c r="AN24" s="31"/>
      <c r="AO24" s="31"/>
      <c r="AP24" s="31"/>
      <c r="AQ24" s="31"/>
      <c r="AR24" s="31"/>
      <c r="AS24" s="31"/>
      <c r="AT24" s="31"/>
      <c r="AU24" s="24" t="str">
        <f>IF($B24="","","BATs-"&amp;TEXT(COUNTIF($B$8:$B24,"?*"),"000"))</f>
        <v>BATs-017</v>
      </c>
      <c r="AV24" s="14" t="s">
        <v>143</v>
      </c>
      <c r="AW24" s="14" t="s">
        <v>371</v>
      </c>
      <c r="AX24" s="14"/>
      <c r="AY24" s="14" t="s">
        <v>376</v>
      </c>
      <c r="BA24" s="65" t="s">
        <v>377</v>
      </c>
    </row>
    <row r="25" spans="1:53" s="79" customFormat="1" ht="45">
      <c r="A25" s="75" t="str">
        <f>IF($B25="","","BATs-"&amp;TEXT(COUNTIF($B$8:$B25,"?*"),"000"))</f>
        <v>BATs-018</v>
      </c>
      <c r="B25" s="74" t="s">
        <v>143</v>
      </c>
      <c r="C25" s="113" t="s">
        <v>378</v>
      </c>
      <c r="D25" s="31"/>
      <c r="E25" s="81" t="s">
        <v>379</v>
      </c>
      <c r="F25" s="31" t="s">
        <v>119</v>
      </c>
      <c r="G25" s="74"/>
      <c r="H25" s="74"/>
      <c r="I25" s="74"/>
      <c r="J25" s="74"/>
      <c r="K25" s="77"/>
      <c r="L25" s="77"/>
      <c r="M25" s="77"/>
      <c r="N25" s="77"/>
      <c r="O25" s="77"/>
      <c r="P25" s="77"/>
      <c r="Q25" s="31"/>
      <c r="R25" s="77"/>
      <c r="S25" s="74"/>
      <c r="T25" s="74"/>
      <c r="U25" s="74"/>
      <c r="V25" s="74"/>
      <c r="W25" s="74"/>
      <c r="X25" s="111" t="s">
        <v>285</v>
      </c>
      <c r="Y25" s="74"/>
      <c r="Z25" s="74"/>
      <c r="AA25" s="74"/>
      <c r="AB25" s="74"/>
      <c r="AC25" s="74"/>
      <c r="AD25" s="74"/>
      <c r="AE25" s="74"/>
      <c r="AF25" s="74"/>
      <c r="AG25" s="74"/>
      <c r="AH25" s="74"/>
      <c r="AI25" s="74"/>
      <c r="AJ25" s="74"/>
      <c r="AK25" s="74"/>
      <c r="AL25" s="74"/>
      <c r="AM25" s="74"/>
      <c r="AN25" s="74"/>
      <c r="AO25" s="74"/>
      <c r="AP25" s="74"/>
      <c r="AQ25" s="74"/>
      <c r="AR25" s="74"/>
      <c r="AS25" s="74"/>
      <c r="AT25" s="74"/>
      <c r="AU25" s="75" t="str">
        <f>IF($B25="","","BATs-"&amp;TEXT(COUNTIF($B$8:$B25,"?*"),"000"))</f>
        <v>BATs-018</v>
      </c>
      <c r="AV25" s="74" t="s">
        <v>143</v>
      </c>
      <c r="AW25" s="113" t="s">
        <v>378</v>
      </c>
      <c r="AX25" s="74"/>
      <c r="AY25" s="74" t="s">
        <v>380</v>
      </c>
      <c r="BA25" s="78" t="s">
        <v>381</v>
      </c>
    </row>
    <row r="26" spans="1:53" ht="60">
      <c r="A26" s="24" t="str">
        <f>IF($B26="","","BATs-"&amp;TEXT(COUNTIF($B$8:$B26,"?*"),"000"))</f>
        <v>BATs-019</v>
      </c>
      <c r="B26" s="14" t="s">
        <v>143</v>
      </c>
      <c r="C26" s="51" t="s">
        <v>382</v>
      </c>
      <c r="D26" s="143" t="s">
        <v>383</v>
      </c>
      <c r="E26" s="55" t="s">
        <v>384</v>
      </c>
      <c r="F26" s="31" t="s">
        <v>119</v>
      </c>
      <c r="G26" s="116" t="s">
        <v>385</v>
      </c>
      <c r="H26" s="68"/>
      <c r="I26" s="68"/>
      <c r="J26" s="68"/>
      <c r="S26" s="60" t="s">
        <v>286</v>
      </c>
      <c r="T26" s="73" t="s">
        <v>285</v>
      </c>
      <c r="W26" s="73"/>
      <c r="X26" s="73" t="s">
        <v>285</v>
      </c>
      <c r="Z26" s="73" t="s">
        <v>285</v>
      </c>
      <c r="AA26" s="73" t="s">
        <v>285</v>
      </c>
      <c r="AB26" s="73" t="s">
        <v>285</v>
      </c>
      <c r="AC26" s="73"/>
      <c r="AD26" s="73" t="s">
        <v>285</v>
      </c>
      <c r="AE26" s="73" t="s">
        <v>285</v>
      </c>
      <c r="AF26" s="73"/>
      <c r="AG26" s="73" t="s">
        <v>285</v>
      </c>
      <c r="AN26" s="73" t="s">
        <v>285</v>
      </c>
      <c r="AU26" s="24" t="str">
        <f>IF($B26="","","BATs-"&amp;TEXT(COUNTIF($B$8:$B26,"?*"),"000"))</f>
        <v>BATs-019</v>
      </c>
      <c r="AV26" s="14" t="s">
        <v>143</v>
      </c>
      <c r="AW26" s="51" t="s">
        <v>386</v>
      </c>
      <c r="AY26" t="s">
        <v>387</v>
      </c>
      <c r="BA26" s="65" t="s">
        <v>388</v>
      </c>
    </row>
    <row r="27" spans="1:53" s="79" customFormat="1" ht="75">
      <c r="A27" s="75" t="str">
        <f>IF($B27="","","BATs-"&amp;TEXT(COUNTIF($B$8:$B27,"?*"),"000"))</f>
        <v>BATs-020</v>
      </c>
      <c r="B27" s="74" t="s">
        <v>143</v>
      </c>
      <c r="C27" s="80" t="s">
        <v>389</v>
      </c>
      <c r="D27" s="128"/>
      <c r="E27" s="81" t="s">
        <v>390</v>
      </c>
      <c r="F27" s="31" t="s">
        <v>119</v>
      </c>
      <c r="G27" s="84"/>
      <c r="H27" s="84"/>
      <c r="I27" s="84"/>
      <c r="J27" s="84"/>
      <c r="L27" s="83"/>
      <c r="M27" s="83"/>
      <c r="N27" s="83"/>
      <c r="O27" s="83"/>
      <c r="P27" s="83"/>
      <c r="Q27"/>
      <c r="R27" s="83"/>
      <c r="S27" s="83" t="s">
        <v>286</v>
      </c>
      <c r="T27" s="111" t="s">
        <v>285</v>
      </c>
      <c r="AU27" s="75" t="str">
        <f>IF($B27="","","BATs-"&amp;TEXT(COUNTIF($B$8:$B27,"?*"),"000"))</f>
        <v>BATs-020</v>
      </c>
      <c r="AV27" s="74" t="s">
        <v>143</v>
      </c>
      <c r="AW27" s="80" t="s">
        <v>389</v>
      </c>
      <c r="AY27" s="79" t="s">
        <v>387</v>
      </c>
      <c r="BA27" s="78" t="s">
        <v>391</v>
      </c>
    </row>
    <row r="28" spans="1:53" s="79" customFormat="1" ht="75">
      <c r="A28" s="75" t="str">
        <f>IF($B28="","","BATs-"&amp;TEXT(COUNTIF($B$8:$B28,"?*"),"000"))</f>
        <v>BATs-021</v>
      </c>
      <c r="B28" s="74" t="s">
        <v>143</v>
      </c>
      <c r="C28" s="80" t="s">
        <v>392</v>
      </c>
      <c r="D28" s="128"/>
      <c r="E28" s="81" t="s">
        <v>393</v>
      </c>
      <c r="F28" s="31" t="s">
        <v>119</v>
      </c>
      <c r="G28" s="84"/>
      <c r="H28" s="84"/>
      <c r="I28" s="84"/>
      <c r="J28" s="84"/>
      <c r="L28" s="83"/>
      <c r="M28" s="83"/>
      <c r="N28" s="83"/>
      <c r="O28" s="83"/>
      <c r="P28" s="83"/>
      <c r="Q28"/>
      <c r="R28" s="83"/>
      <c r="W28" s="111" t="s">
        <v>285</v>
      </c>
      <c r="X28" s="111" t="s">
        <v>285</v>
      </c>
      <c r="Z28" s="111" t="s">
        <v>285</v>
      </c>
      <c r="AA28" s="111" t="s">
        <v>285</v>
      </c>
      <c r="AB28" s="111" t="s">
        <v>285</v>
      </c>
      <c r="AC28" s="111"/>
      <c r="AD28" s="111" t="s">
        <v>285</v>
      </c>
      <c r="AE28" s="111" t="s">
        <v>285</v>
      </c>
      <c r="AF28" s="111" t="s">
        <v>285</v>
      </c>
      <c r="AG28" s="111" t="s">
        <v>285</v>
      </c>
      <c r="AN28" s="111" t="s">
        <v>285</v>
      </c>
      <c r="AU28" s="75" t="str">
        <f>IF($B28="","","BATs-"&amp;TEXT(COUNTIF($B$8:$B28,"?*"),"000"))</f>
        <v>BATs-021</v>
      </c>
      <c r="AV28" s="74" t="s">
        <v>143</v>
      </c>
      <c r="AW28" s="80" t="s">
        <v>392</v>
      </c>
      <c r="AY28" s="79" t="s">
        <v>387</v>
      </c>
      <c r="BA28" s="78" t="s">
        <v>304</v>
      </c>
    </row>
    <row r="29" spans="1:53" s="79" customFormat="1" ht="75">
      <c r="A29" s="75" t="str">
        <f>IF($B29="","","BATs-"&amp;TEXT(COUNTIF($B$8:$B29,"?*"),"000"))</f>
        <v>BATs-022</v>
      </c>
      <c r="B29" s="74" t="s">
        <v>143</v>
      </c>
      <c r="C29" s="80" t="s">
        <v>394</v>
      </c>
      <c r="D29" s="128"/>
      <c r="E29" s="81" t="s">
        <v>395</v>
      </c>
      <c r="F29" s="31" t="s">
        <v>119</v>
      </c>
      <c r="G29" s="84"/>
      <c r="H29" s="84"/>
      <c r="I29" s="84"/>
      <c r="J29" s="84"/>
      <c r="L29" s="83"/>
      <c r="M29" s="83"/>
      <c r="N29" s="83"/>
      <c r="O29" s="83"/>
      <c r="P29" s="83"/>
      <c r="Q29"/>
      <c r="R29" s="83"/>
      <c r="S29" s="83" t="s">
        <v>286</v>
      </c>
      <c r="T29" s="83"/>
      <c r="W29" s="111" t="s">
        <v>285</v>
      </c>
      <c r="X29" s="111" t="s">
        <v>285</v>
      </c>
      <c r="Z29" s="111" t="s">
        <v>285</v>
      </c>
      <c r="AA29" s="111" t="s">
        <v>285</v>
      </c>
      <c r="AB29" s="111" t="s">
        <v>285</v>
      </c>
      <c r="AC29" s="111"/>
      <c r="AD29" s="111" t="s">
        <v>285</v>
      </c>
      <c r="AE29" s="111" t="s">
        <v>285</v>
      </c>
      <c r="AF29" s="111" t="s">
        <v>285</v>
      </c>
      <c r="AG29" s="111" t="s">
        <v>285</v>
      </c>
      <c r="AU29" s="75" t="str">
        <f>IF($B29="","","BATs-"&amp;TEXT(COUNTIF($B$8:$B29,"?*"),"000"))</f>
        <v>BATs-022</v>
      </c>
      <c r="AV29" s="74" t="s">
        <v>143</v>
      </c>
      <c r="AW29" s="80" t="s">
        <v>396</v>
      </c>
      <c r="AY29" s="79" t="s">
        <v>387</v>
      </c>
      <c r="BA29" s="78" t="s">
        <v>304</v>
      </c>
    </row>
    <row r="30" spans="1:53" ht="90">
      <c r="A30" s="24" t="str">
        <f>IF($B30="","","BATs-"&amp;TEXT(COUNTIF($B$8:$B30,"?*"),"000"))</f>
        <v>BATs-023</v>
      </c>
      <c r="B30" s="14" t="s">
        <v>143</v>
      </c>
      <c r="C30" s="51" t="s">
        <v>397</v>
      </c>
      <c r="D30" s="144" t="s">
        <v>398</v>
      </c>
      <c r="E30" s="55" t="s">
        <v>399</v>
      </c>
      <c r="F30" s="31" t="s">
        <v>119</v>
      </c>
      <c r="G30" s="68" t="s">
        <v>400</v>
      </c>
      <c r="H30" s="68"/>
      <c r="I30" s="68"/>
      <c r="J30" s="68"/>
      <c r="P30" s="73" t="s">
        <v>285</v>
      </c>
      <c r="S30" s="69" t="s">
        <v>286</v>
      </c>
      <c r="T30" s="69"/>
      <c r="U30" s="73" t="s">
        <v>285</v>
      </c>
      <c r="V30" s="73" t="s">
        <v>285</v>
      </c>
      <c r="X30" s="73" t="s">
        <v>285</v>
      </c>
      <c r="AI30" s="73" t="s">
        <v>285</v>
      </c>
      <c r="AU30" s="24" t="str">
        <f>IF($B30="","","BATs-"&amp;TEXT(COUNTIF($B$8:$B30,"?*"),"000"))</f>
        <v>BATs-023</v>
      </c>
      <c r="AV30" s="14" t="s">
        <v>143</v>
      </c>
      <c r="AW30" s="51" t="s">
        <v>401</v>
      </c>
      <c r="AY30" t="s">
        <v>387</v>
      </c>
      <c r="BA30" s="65" t="s">
        <v>391</v>
      </c>
    </row>
    <row r="31" spans="1:53" ht="60">
      <c r="A31" s="24" t="str">
        <f>IF($B31="","","BATs-"&amp;TEXT(COUNTIF($B$8:$B31,"?*"),"000"))</f>
        <v>BATs-024</v>
      </c>
      <c r="B31" s="14" t="s">
        <v>143</v>
      </c>
      <c r="C31" s="58" t="s">
        <v>402</v>
      </c>
      <c r="D31" s="133" t="s">
        <v>403</v>
      </c>
      <c r="E31" s="55" t="s">
        <v>404</v>
      </c>
      <c r="F31" s="31" t="s">
        <v>119</v>
      </c>
      <c r="G31" s="68"/>
      <c r="H31" s="68"/>
      <c r="I31" s="68"/>
      <c r="J31" s="68"/>
      <c r="O31" s="73" t="s">
        <v>285</v>
      </c>
      <c r="R31" s="73" t="s">
        <v>285</v>
      </c>
      <c r="V31" s="73" t="s">
        <v>285</v>
      </c>
      <c r="AU31" s="24" t="str">
        <f>IF($B31="","","BATs-"&amp;TEXT(COUNTIF($B$8:$B31,"?*"),"000"))</f>
        <v>BATs-024</v>
      </c>
      <c r="AV31" s="14" t="s">
        <v>143</v>
      </c>
      <c r="AW31" s="58" t="s">
        <v>405</v>
      </c>
      <c r="AY31" t="s">
        <v>387</v>
      </c>
      <c r="BA31" s="65" t="s">
        <v>406</v>
      </c>
    </row>
    <row r="32" spans="1:53" ht="90">
      <c r="A32" s="24" t="str">
        <f>IF($B32="","","BATs-"&amp;TEXT(COUNTIF($B$8:$B32,"?*"),"000"))</f>
        <v>BATs-025</v>
      </c>
      <c r="B32" s="14" t="s">
        <v>143</v>
      </c>
      <c r="C32" s="51" t="s">
        <v>407</v>
      </c>
      <c r="D32" s="128"/>
      <c r="E32" s="55" t="s">
        <v>408</v>
      </c>
      <c r="F32" s="31" t="s">
        <v>119</v>
      </c>
      <c r="G32" s="68" t="s">
        <v>409</v>
      </c>
      <c r="H32" s="68" t="s">
        <v>410</v>
      </c>
      <c r="I32" s="68"/>
      <c r="J32" s="68"/>
      <c r="P32" s="73" t="s">
        <v>285</v>
      </c>
      <c r="S32" s="69" t="s">
        <v>286</v>
      </c>
      <c r="T32" s="69" t="s">
        <v>286</v>
      </c>
      <c r="AI32" s="73" t="s">
        <v>285</v>
      </c>
      <c r="AU32" s="24" t="str">
        <f>IF($B32="","","BATs-"&amp;TEXT(COUNTIF($B$8:$B32,"?*"),"000"))</f>
        <v>BATs-025</v>
      </c>
      <c r="AV32" s="14" t="s">
        <v>143</v>
      </c>
      <c r="AW32" s="51" t="s">
        <v>407</v>
      </c>
      <c r="AY32" t="s">
        <v>387</v>
      </c>
      <c r="BA32" s="65" t="s">
        <v>377</v>
      </c>
    </row>
    <row r="33" spans="1:53" ht="90">
      <c r="A33" s="24" t="str">
        <f>IF($B33="","","BATs-"&amp;TEXT(COUNTIF($B$8:$B33,"?*"),"000"))</f>
        <v>BATs-026</v>
      </c>
      <c r="B33" s="14" t="s">
        <v>143</v>
      </c>
      <c r="C33" s="51" t="s">
        <v>411</v>
      </c>
      <c r="D33" s="140" t="s">
        <v>412</v>
      </c>
      <c r="E33" s="55" t="s">
        <v>413</v>
      </c>
      <c r="F33" s="31" t="s">
        <v>119</v>
      </c>
      <c r="G33" s="68" t="s">
        <v>409</v>
      </c>
      <c r="H33" s="68" t="s">
        <v>414</v>
      </c>
      <c r="I33" s="68"/>
      <c r="J33" s="68"/>
      <c r="P33" s="73" t="s">
        <v>285</v>
      </c>
      <c r="S33" s="69" t="s">
        <v>286</v>
      </c>
      <c r="T33" s="69" t="s">
        <v>286</v>
      </c>
      <c r="AI33" s="73" t="s">
        <v>285</v>
      </c>
      <c r="AU33" s="24" t="str">
        <f>IF($B33="","","BATs-"&amp;TEXT(COUNTIF($B$8:$B33,"?*"),"000"))</f>
        <v>BATs-026</v>
      </c>
      <c r="AV33" s="14" t="s">
        <v>143</v>
      </c>
      <c r="AW33" s="51" t="s">
        <v>411</v>
      </c>
      <c r="AY33" t="s">
        <v>387</v>
      </c>
      <c r="BA33" s="65" t="s">
        <v>304</v>
      </c>
    </row>
    <row r="34" spans="1:53" ht="90">
      <c r="A34" s="24" t="str">
        <f>IF($B34="","","BATs-"&amp;TEXT(COUNTIF($B$8:$B34,"?*"),"000"))</f>
        <v>BATs-027</v>
      </c>
      <c r="B34" s="14" t="s">
        <v>143</v>
      </c>
      <c r="C34" s="51" t="s">
        <v>415</v>
      </c>
      <c r="D34" s="128" t="s">
        <v>416</v>
      </c>
      <c r="E34" s="55" t="s">
        <v>417</v>
      </c>
      <c r="F34" s="31" t="s">
        <v>119</v>
      </c>
      <c r="G34" s="68" t="s">
        <v>409</v>
      </c>
      <c r="H34" s="68" t="s">
        <v>414</v>
      </c>
      <c r="I34" s="68"/>
      <c r="J34" s="68"/>
      <c r="P34" s="73" t="s">
        <v>285</v>
      </c>
      <c r="S34" s="69" t="s">
        <v>286</v>
      </c>
      <c r="T34" s="69" t="s">
        <v>286</v>
      </c>
      <c r="U34" s="73" t="s">
        <v>285</v>
      </c>
      <c r="V34" s="73" t="s">
        <v>285</v>
      </c>
      <c r="AI34" s="73" t="s">
        <v>285</v>
      </c>
      <c r="AU34" s="24" t="str">
        <f>IF($B34="","","BATs-"&amp;TEXT(COUNTIF($B$8:$B34,"?*"),"000"))</f>
        <v>BATs-027</v>
      </c>
      <c r="AV34" s="14" t="s">
        <v>143</v>
      </c>
      <c r="AW34" s="51" t="s">
        <v>415</v>
      </c>
      <c r="AY34" t="s">
        <v>387</v>
      </c>
      <c r="BA34" s="65" t="s">
        <v>304</v>
      </c>
    </row>
    <row r="35" spans="1:53" ht="75">
      <c r="A35" s="24" t="str">
        <f>IF($B35="","","BATs-"&amp;TEXT(COUNTIF($B$8:$B35,"?*"),"000"))</f>
        <v>BATs-028</v>
      </c>
      <c r="B35" s="14" t="s">
        <v>143</v>
      </c>
      <c r="C35" s="51" t="s">
        <v>418</v>
      </c>
      <c r="D35" s="128" t="s">
        <v>419</v>
      </c>
      <c r="E35" s="55" t="s">
        <v>420</v>
      </c>
      <c r="F35" s="31" t="s">
        <v>119</v>
      </c>
      <c r="G35" s="68"/>
      <c r="H35" s="68"/>
      <c r="I35" s="68"/>
      <c r="J35" s="68"/>
      <c r="R35" s="73" t="s">
        <v>285</v>
      </c>
      <c r="U35" s="73" t="s">
        <v>285</v>
      </c>
      <c r="V35" s="73" t="s">
        <v>285</v>
      </c>
      <c r="AU35" s="24" t="str">
        <f>IF($B35="","","BATs-"&amp;TEXT(COUNTIF($B$8:$B35,"?*"),"000"))</f>
        <v>BATs-028</v>
      </c>
      <c r="AV35" s="14" t="s">
        <v>143</v>
      </c>
      <c r="AW35" s="51" t="s">
        <v>421</v>
      </c>
      <c r="AY35" t="s">
        <v>387</v>
      </c>
      <c r="BA35" s="65" t="s">
        <v>422</v>
      </c>
    </row>
    <row r="36" spans="1:53" ht="72">
      <c r="A36" s="24" t="str">
        <f>IF($B36="","","BATs-"&amp;TEXT(COUNTIF($B$8:$B36,"?*"),"000"))</f>
        <v>BATs-029</v>
      </c>
      <c r="B36" s="14" t="s">
        <v>143</v>
      </c>
      <c r="C36" s="51" t="s">
        <v>423</v>
      </c>
      <c r="D36" s="31" t="s">
        <v>424</v>
      </c>
      <c r="E36" s="55" t="s">
        <v>425</v>
      </c>
      <c r="F36" s="31" t="s">
        <v>119</v>
      </c>
      <c r="G36" s="14" t="s">
        <v>426</v>
      </c>
      <c r="H36" s="14" t="s">
        <v>427</v>
      </c>
      <c r="I36" s="68"/>
      <c r="J36" s="68"/>
      <c r="K36" s="65" t="s">
        <v>428</v>
      </c>
      <c r="O36" s="16" t="s">
        <v>285</v>
      </c>
      <c r="P36" s="70"/>
      <c r="R36" s="73" t="s">
        <v>285</v>
      </c>
      <c r="W36" s="73" t="s">
        <v>285</v>
      </c>
      <c r="Z36" s="73" t="s">
        <v>285</v>
      </c>
      <c r="AA36" s="73" t="s">
        <v>285</v>
      </c>
      <c r="AB36" s="73" t="s">
        <v>285</v>
      </c>
      <c r="AC36" s="73"/>
      <c r="AD36" s="73" t="s">
        <v>285</v>
      </c>
      <c r="AE36" s="73" t="s">
        <v>285</v>
      </c>
      <c r="AF36" s="73" t="s">
        <v>285</v>
      </c>
      <c r="AG36" s="73" t="s">
        <v>285</v>
      </c>
      <c r="AN36" s="73" t="s">
        <v>285</v>
      </c>
      <c r="AR36" s="73" t="s">
        <v>285</v>
      </c>
      <c r="AS36" s="73" t="s">
        <v>285</v>
      </c>
      <c r="AU36" s="24" t="str">
        <f>IF($B36="","","BATs-"&amp;TEXT(COUNTIF($B$8:$B36,"?*"),"000"))</f>
        <v>BATs-029</v>
      </c>
      <c r="AV36" s="14" t="s">
        <v>143</v>
      </c>
      <c r="AW36" s="51" t="s">
        <v>429</v>
      </c>
      <c r="AY36" t="s">
        <v>387</v>
      </c>
      <c r="BA36" s="65" t="s">
        <v>430</v>
      </c>
    </row>
    <row r="37" spans="1:53" ht="75">
      <c r="A37" s="24" t="str">
        <f>IF($B37="","","BATs-"&amp;TEXT(COUNTIF($B$8:$B37,"?*"),"000"))</f>
        <v>BATs-030</v>
      </c>
      <c r="B37" s="14" t="s">
        <v>143</v>
      </c>
      <c r="C37" s="51" t="s">
        <v>431</v>
      </c>
      <c r="D37" s="143" t="s">
        <v>432</v>
      </c>
      <c r="E37" s="55" t="s">
        <v>433</v>
      </c>
      <c r="F37" s="31" t="s">
        <v>119</v>
      </c>
      <c r="G37" s="68"/>
      <c r="H37" s="68"/>
      <c r="I37" s="68"/>
      <c r="J37" s="68"/>
      <c r="R37" s="73" t="s">
        <v>285</v>
      </c>
      <c r="U37" s="73" t="s">
        <v>285</v>
      </c>
      <c r="V37" s="73" t="s">
        <v>285</v>
      </c>
      <c r="X37" s="73" t="s">
        <v>285</v>
      </c>
      <c r="AH37" s="73" t="s">
        <v>285</v>
      </c>
      <c r="AU37" s="24" t="str">
        <f>IF($B37="","","BATs-"&amp;TEXT(COUNTIF($B$8:$B37,"?*"),"000"))</f>
        <v>BATs-030</v>
      </c>
      <c r="AV37" s="14" t="s">
        <v>143</v>
      </c>
      <c r="AW37" s="51" t="s">
        <v>431</v>
      </c>
      <c r="AY37" t="s">
        <v>387</v>
      </c>
      <c r="BA37" s="65" t="s">
        <v>430</v>
      </c>
    </row>
    <row r="38" spans="1:53" ht="75">
      <c r="A38" s="24" t="str">
        <f>IF($B38="","","BATs-"&amp;TEXT(COUNTIF($B$8:$B38,"?*"),"000"))</f>
        <v>BATs-031</v>
      </c>
      <c r="B38" s="14" t="s">
        <v>143</v>
      </c>
      <c r="C38" s="51" t="s">
        <v>434</v>
      </c>
      <c r="D38" s="143" t="s">
        <v>435</v>
      </c>
      <c r="E38" s="55" t="s">
        <v>436</v>
      </c>
      <c r="F38" s="31" t="s">
        <v>119</v>
      </c>
      <c r="G38" s="68"/>
      <c r="H38" s="68"/>
      <c r="I38" s="68"/>
      <c r="J38" s="68"/>
      <c r="S38" s="73" t="s">
        <v>285</v>
      </c>
      <c r="T38" s="73" t="s">
        <v>285</v>
      </c>
      <c r="AU38" s="24" t="str">
        <f>IF($B38="","","BATs-"&amp;TEXT(COUNTIF($B$8:$B38,"?*"),"000"))</f>
        <v>BATs-031</v>
      </c>
      <c r="AV38" s="14" t="s">
        <v>143</v>
      </c>
      <c r="AW38" s="51" t="s">
        <v>434</v>
      </c>
      <c r="AY38" t="s">
        <v>387</v>
      </c>
      <c r="BA38" s="65" t="s">
        <v>377</v>
      </c>
    </row>
    <row r="39" spans="1:53" ht="75">
      <c r="A39" s="24" t="str">
        <f>IF($B39="","","BATs-"&amp;TEXT(COUNTIF($B$8:$B39,"?*"),"000"))</f>
        <v>BATs-032</v>
      </c>
      <c r="B39" s="14" t="s">
        <v>143</v>
      </c>
      <c r="C39" s="51" t="s">
        <v>437</v>
      </c>
      <c r="D39" s="140" t="s">
        <v>438</v>
      </c>
      <c r="E39" s="55" t="s">
        <v>439</v>
      </c>
      <c r="F39" s="31" t="s">
        <v>119</v>
      </c>
      <c r="G39" s="68"/>
      <c r="H39" s="68"/>
      <c r="I39" s="68"/>
      <c r="J39" s="68"/>
      <c r="M39" s="73" t="s">
        <v>285</v>
      </c>
      <c r="N39" s="73" t="s">
        <v>285</v>
      </c>
      <c r="P39" s="73" t="s">
        <v>285</v>
      </c>
      <c r="U39" s="73" t="s">
        <v>285</v>
      </c>
      <c r="V39" s="73" t="s">
        <v>285</v>
      </c>
      <c r="AI39" s="73" t="s">
        <v>285</v>
      </c>
      <c r="AU39" s="24" t="str">
        <f>IF($B39="","","BATs-"&amp;TEXT(COUNTIF($B$8:$B39,"?*"),"000"))</f>
        <v>BATs-032</v>
      </c>
      <c r="AV39" s="14" t="s">
        <v>143</v>
      </c>
      <c r="AW39" s="51" t="s">
        <v>437</v>
      </c>
      <c r="AY39" t="s">
        <v>387</v>
      </c>
      <c r="BA39" s="65" t="s">
        <v>440</v>
      </c>
    </row>
    <row r="40" spans="1:53" ht="75">
      <c r="A40" s="24" t="str">
        <f>IF($B40="","","BATs-"&amp;TEXT(COUNTIF($B$8:$B40,"?*"),"000"))</f>
        <v>BATs-033</v>
      </c>
      <c r="B40" s="14" t="s">
        <v>143</v>
      </c>
      <c r="C40" s="51" t="s">
        <v>441</v>
      </c>
      <c r="D40" s="140" t="s">
        <v>442</v>
      </c>
      <c r="E40" s="55" t="s">
        <v>443</v>
      </c>
      <c r="F40" s="31" t="s">
        <v>119</v>
      </c>
      <c r="G40" s="68"/>
      <c r="H40" s="68"/>
      <c r="I40" s="68"/>
      <c r="J40" s="68"/>
      <c r="S40" s="60" t="s">
        <v>286</v>
      </c>
      <c r="T40" s="60"/>
      <c r="AU40" s="24" t="str">
        <f>IF($B40="","","BATs-"&amp;TEXT(COUNTIF($B$8:$B40,"?*"),"000"))</f>
        <v>BATs-033</v>
      </c>
      <c r="AV40" s="14" t="s">
        <v>143</v>
      </c>
      <c r="AW40" s="51" t="s">
        <v>441</v>
      </c>
      <c r="AY40" t="s">
        <v>387</v>
      </c>
      <c r="BA40" s="65" t="s">
        <v>444</v>
      </c>
    </row>
    <row r="41" spans="1:53" ht="75">
      <c r="A41" s="24" t="str">
        <f>IF($B41="","","BATs-"&amp;TEXT(COUNTIF($B$8:$B41,"?*"),"000"))</f>
        <v>BATs-034</v>
      </c>
      <c r="B41" s="14" t="s">
        <v>143</v>
      </c>
      <c r="C41" s="51" t="s">
        <v>445</v>
      </c>
      <c r="D41" s="140" t="s">
        <v>442</v>
      </c>
      <c r="E41" s="55" t="s">
        <v>446</v>
      </c>
      <c r="F41" s="31" t="s">
        <v>119</v>
      </c>
      <c r="G41" s="68"/>
      <c r="H41" s="68"/>
      <c r="I41" s="68"/>
      <c r="J41" s="68"/>
      <c r="S41" s="60" t="s">
        <v>286</v>
      </c>
      <c r="T41" s="60"/>
      <c r="X41" s="73" t="s">
        <v>285</v>
      </c>
      <c r="AU41" s="24" t="str">
        <f>IF($B41="","","BATs-"&amp;TEXT(COUNTIF($B$8:$B41,"?*"),"000"))</f>
        <v>BATs-034</v>
      </c>
      <c r="AV41" s="14" t="s">
        <v>143</v>
      </c>
      <c r="AW41" s="51" t="s">
        <v>445</v>
      </c>
      <c r="AY41" t="s">
        <v>387</v>
      </c>
      <c r="BA41" s="65" t="s">
        <v>304</v>
      </c>
    </row>
    <row r="42" spans="1:53" s="128" customFormat="1" ht="75">
      <c r="A42" s="46" t="str">
        <f>IF($B42="","","BATs-"&amp;TEXT(COUNTIF($B$8:$B42,"?*"),"000"))</f>
        <v>BATs-035</v>
      </c>
      <c r="B42" s="31" t="s">
        <v>143</v>
      </c>
      <c r="C42" s="129" t="s">
        <v>447</v>
      </c>
      <c r="D42" s="128" t="s">
        <v>448</v>
      </c>
      <c r="E42" s="130" t="s">
        <v>449</v>
      </c>
      <c r="F42" s="31" t="s">
        <v>119</v>
      </c>
      <c r="G42" s="86"/>
      <c r="H42" s="86"/>
      <c r="I42" s="86"/>
      <c r="J42" s="86"/>
      <c r="L42" s="131"/>
      <c r="M42" s="131"/>
      <c r="N42" s="131"/>
      <c r="O42" s="131"/>
      <c r="P42" s="131"/>
      <c r="R42" s="131"/>
      <c r="S42" s="131" t="s">
        <v>286</v>
      </c>
      <c r="T42" s="131"/>
      <c r="V42" s="132" t="s">
        <v>285</v>
      </c>
      <c r="X42" s="132" t="s">
        <v>285</v>
      </c>
      <c r="AU42" s="46" t="str">
        <f>IF($B42="","","BATs-"&amp;TEXT(COUNTIF($B$8:$B42,"?*"),"000"))</f>
        <v>BATs-035</v>
      </c>
      <c r="AV42" s="31" t="s">
        <v>143</v>
      </c>
      <c r="AW42" s="129" t="s">
        <v>447</v>
      </c>
      <c r="AY42" s="128" t="s">
        <v>387</v>
      </c>
      <c r="BA42" s="133" t="s">
        <v>304</v>
      </c>
    </row>
    <row r="43" spans="1:53" ht="75">
      <c r="A43" s="24" t="str">
        <f>IF($B43="","","BATs-"&amp;TEXT(COUNTIF($B$8:$B43,"?*"),"000"))</f>
        <v>BATs-036</v>
      </c>
      <c r="B43" s="14" t="s">
        <v>143</v>
      </c>
      <c r="C43" s="51" t="s">
        <v>450</v>
      </c>
      <c r="D43" s="140" t="s">
        <v>451</v>
      </c>
      <c r="E43" s="55" t="s">
        <v>452</v>
      </c>
      <c r="F43" s="31" t="s">
        <v>119</v>
      </c>
      <c r="G43" s="68"/>
      <c r="H43" s="68"/>
      <c r="I43" s="68"/>
      <c r="J43" s="68"/>
      <c r="S43" s="60" t="s">
        <v>286</v>
      </c>
      <c r="T43" s="60"/>
      <c r="V43" s="73"/>
      <c r="AU43" s="24" t="str">
        <f>IF($B43="","","BATs-"&amp;TEXT(COUNTIF($B$8:$B43,"?*"),"000"))</f>
        <v>BATs-036</v>
      </c>
      <c r="AV43" s="14" t="s">
        <v>143</v>
      </c>
      <c r="AW43" s="51" t="s">
        <v>450</v>
      </c>
      <c r="AY43" t="s">
        <v>387</v>
      </c>
      <c r="BA43" s="65" t="s">
        <v>304</v>
      </c>
    </row>
    <row r="44" spans="1:53" ht="60">
      <c r="A44" s="24" t="str">
        <f>IF($B44="","","BATs-"&amp;TEXT(COUNTIF($B$8:$B44,"?*"),"000"))</f>
        <v>BATs-037</v>
      </c>
      <c r="B44" s="14" t="s">
        <v>143</v>
      </c>
      <c r="C44" s="51" t="s">
        <v>453</v>
      </c>
      <c r="D44" s="140" t="s">
        <v>454</v>
      </c>
      <c r="E44" s="55" t="s">
        <v>455</v>
      </c>
      <c r="F44" s="31" t="s">
        <v>119</v>
      </c>
      <c r="G44" s="68"/>
      <c r="H44" s="68"/>
      <c r="I44" s="68"/>
      <c r="J44" s="68"/>
      <c r="S44" s="69" t="s">
        <v>286</v>
      </c>
      <c r="T44" s="73" t="s">
        <v>285</v>
      </c>
      <c r="AU44" s="24" t="str">
        <f>IF($B44="","","BATs-"&amp;TEXT(COUNTIF($B$8:$B44,"?*"),"000"))</f>
        <v>BATs-037</v>
      </c>
      <c r="AV44" s="14" t="s">
        <v>143</v>
      </c>
      <c r="AW44" s="51" t="s">
        <v>456</v>
      </c>
      <c r="AY44" t="s">
        <v>387</v>
      </c>
      <c r="BA44" s="65" t="s">
        <v>304</v>
      </c>
    </row>
    <row r="45" spans="1:53" ht="105">
      <c r="A45" s="24" t="str">
        <f>IF($B45="","","BATs-"&amp;TEXT(COUNTIF($B$8:$B45,"?*"),"000"))</f>
        <v>BATs-038</v>
      </c>
      <c r="B45" s="14" t="s">
        <v>143</v>
      </c>
      <c r="C45" s="51" t="s">
        <v>457</v>
      </c>
      <c r="D45" s="140" t="s">
        <v>458</v>
      </c>
      <c r="E45" s="55" t="s">
        <v>459</v>
      </c>
      <c r="F45" s="31" t="s">
        <v>119</v>
      </c>
      <c r="G45" s="68"/>
      <c r="H45" s="68"/>
      <c r="I45" s="68"/>
      <c r="J45" s="68"/>
      <c r="X45" s="73" t="s">
        <v>285</v>
      </c>
      <c r="AU45" s="24" t="str">
        <f>IF($B45="","","BATs-"&amp;TEXT(COUNTIF($B$8:$B45,"?*"),"000"))</f>
        <v>BATs-038</v>
      </c>
      <c r="AV45" s="14" t="s">
        <v>143</v>
      </c>
      <c r="AW45" s="51" t="s">
        <v>460</v>
      </c>
      <c r="AY45" t="s">
        <v>387</v>
      </c>
      <c r="BA45" s="65" t="s">
        <v>461</v>
      </c>
    </row>
    <row r="46" spans="1:53" s="79" customFormat="1" ht="120">
      <c r="A46" s="75" t="str">
        <f>IF($B46="","","BATs-"&amp;TEXT(COUNTIF($B$8:$B46,"?*"),"000"))</f>
        <v>BATs-039</v>
      </c>
      <c r="B46" s="74" t="s">
        <v>143</v>
      </c>
      <c r="C46" s="80" t="s">
        <v>462</v>
      </c>
      <c r="D46" s="126" t="s">
        <v>463</v>
      </c>
      <c r="E46" s="81" t="s">
        <v>464</v>
      </c>
      <c r="F46" s="31" t="s">
        <v>119</v>
      </c>
      <c r="G46" s="74"/>
      <c r="H46" s="74"/>
      <c r="I46" s="74"/>
      <c r="J46" s="74"/>
      <c r="K46" s="75" t="s">
        <v>463</v>
      </c>
      <c r="L46" s="77" t="s">
        <v>285</v>
      </c>
      <c r="M46" s="82"/>
      <c r="N46" s="82"/>
      <c r="O46" s="83"/>
      <c r="P46" s="83"/>
      <c r="R46" s="83"/>
      <c r="AU46" s="75" t="str">
        <f>IF($B46="","","BATs-"&amp;TEXT(COUNTIF($B$8:$B46,"?*"),"000"))</f>
        <v>BATs-039</v>
      </c>
      <c r="AV46" s="74" t="s">
        <v>143</v>
      </c>
      <c r="AW46" s="80" t="s">
        <v>462</v>
      </c>
      <c r="AY46" s="79" t="s">
        <v>387</v>
      </c>
    </row>
    <row r="47" spans="1:53" ht="120">
      <c r="A47" s="24" t="str">
        <f>IF($B47="","","BATs-"&amp;TEXT(COUNTIF($B$8:$B47,"?*"),"000"))</f>
        <v>BATs-040</v>
      </c>
      <c r="B47" s="14" t="s">
        <v>143</v>
      </c>
      <c r="C47" s="51" t="s">
        <v>465</v>
      </c>
      <c r="D47" s="125"/>
      <c r="E47" s="55" t="s">
        <v>466</v>
      </c>
      <c r="F47" s="31" t="s">
        <v>119</v>
      </c>
      <c r="G47" s="68"/>
      <c r="H47" s="68"/>
      <c r="I47" s="68"/>
      <c r="J47" s="68"/>
      <c r="O47" s="73" t="s">
        <v>285</v>
      </c>
      <c r="R47" s="73" t="s">
        <v>285</v>
      </c>
      <c r="U47" s="73" t="s">
        <v>285</v>
      </c>
      <c r="V47" s="73" t="s">
        <v>285</v>
      </c>
      <c r="W47" s="73" t="s">
        <v>285</v>
      </c>
      <c r="X47" s="73" t="s">
        <v>285</v>
      </c>
      <c r="Z47" s="73" t="s">
        <v>285</v>
      </c>
      <c r="AA47" s="73" t="s">
        <v>285</v>
      </c>
      <c r="AB47" s="73" t="s">
        <v>285</v>
      </c>
      <c r="AC47" s="73"/>
      <c r="AD47" s="73" t="s">
        <v>285</v>
      </c>
      <c r="AE47" s="73" t="s">
        <v>285</v>
      </c>
      <c r="AF47" s="73" t="s">
        <v>285</v>
      </c>
      <c r="AG47" s="73" t="s">
        <v>285</v>
      </c>
      <c r="AN47" s="73" t="s">
        <v>285</v>
      </c>
      <c r="AS47" s="73" t="s">
        <v>285</v>
      </c>
      <c r="AU47" s="24" t="str">
        <f>IF($B47="","","BATs-"&amp;TEXT(COUNTIF($B$8:$B47,"?*"),"000"))</f>
        <v>BATs-040</v>
      </c>
      <c r="AV47" s="14" t="s">
        <v>143</v>
      </c>
      <c r="AW47" s="51" t="s">
        <v>467</v>
      </c>
      <c r="AY47" t="s">
        <v>387</v>
      </c>
      <c r="BA47" s="65" t="s">
        <v>468</v>
      </c>
    </row>
    <row r="48" spans="1:53" ht="105">
      <c r="A48" s="24" t="str">
        <f>IF($B48="","","BATs-"&amp;TEXT(COUNTIF($B$8:$B48,"?*"),"000"))</f>
        <v>BATs-041</v>
      </c>
      <c r="B48" s="14" t="s">
        <v>143</v>
      </c>
      <c r="C48" s="57" t="s">
        <v>469</v>
      </c>
      <c r="D48" s="140" t="s">
        <v>470</v>
      </c>
      <c r="E48" s="55" t="s">
        <v>471</v>
      </c>
      <c r="F48" s="31" t="s">
        <v>119</v>
      </c>
      <c r="G48" s="68"/>
      <c r="H48" s="68"/>
      <c r="I48" s="68"/>
      <c r="J48" s="68"/>
      <c r="L48" s="73" t="s">
        <v>285</v>
      </c>
      <c r="M48" s="73" t="s">
        <v>285</v>
      </c>
      <c r="N48" s="73" t="s">
        <v>285</v>
      </c>
      <c r="O48" s="73" t="s">
        <v>285</v>
      </c>
      <c r="R48" s="73" t="s">
        <v>285</v>
      </c>
      <c r="S48" s="73"/>
      <c r="U48" s="73" t="s">
        <v>285</v>
      </c>
      <c r="V48" s="73" t="s">
        <v>285</v>
      </c>
      <c r="W48" s="73" t="s">
        <v>285</v>
      </c>
      <c r="X48" s="73" t="s">
        <v>285</v>
      </c>
      <c r="Z48" s="73" t="s">
        <v>285</v>
      </c>
      <c r="AA48" s="73" t="s">
        <v>285</v>
      </c>
      <c r="AB48" s="73" t="s">
        <v>285</v>
      </c>
      <c r="AC48" s="73"/>
      <c r="AD48" s="73" t="s">
        <v>285</v>
      </c>
      <c r="AE48" s="73" t="s">
        <v>285</v>
      </c>
      <c r="AF48" s="73" t="s">
        <v>285</v>
      </c>
      <c r="AG48" s="73" t="s">
        <v>285</v>
      </c>
      <c r="AH48" s="73" t="s">
        <v>285</v>
      </c>
      <c r="AJ48" s="73"/>
      <c r="AK48" s="73" t="s">
        <v>285</v>
      </c>
      <c r="AL48" s="73" t="s">
        <v>285</v>
      </c>
      <c r="AM48" s="73" t="s">
        <v>285</v>
      </c>
      <c r="AN48" s="73" t="s">
        <v>285</v>
      </c>
      <c r="AO48" s="73" t="s">
        <v>285</v>
      </c>
      <c r="AP48" s="73" t="s">
        <v>285</v>
      </c>
      <c r="AQ48" s="73" t="s">
        <v>285</v>
      </c>
      <c r="AR48" s="73" t="s">
        <v>285</v>
      </c>
      <c r="AS48" s="73" t="s">
        <v>285</v>
      </c>
      <c r="AT48" s="73" t="s">
        <v>285</v>
      </c>
      <c r="AU48" s="24" t="str">
        <f>IF($B48="","","BATs-"&amp;TEXT(COUNTIF($B$8:$B48,"?*"),"000"))</f>
        <v>BATs-041</v>
      </c>
      <c r="AV48" s="14" t="s">
        <v>143</v>
      </c>
      <c r="AW48" s="57" t="s">
        <v>472</v>
      </c>
      <c r="AY48" t="s">
        <v>387</v>
      </c>
      <c r="BA48" s="65" t="s">
        <v>304</v>
      </c>
    </row>
    <row r="49" spans="1:53" s="79" customFormat="1" ht="135">
      <c r="A49" s="75" t="str">
        <f>IF($B49="","","BATs-"&amp;TEXT(COUNTIF($B$8:$B49,"?*"),"000"))</f>
        <v>BATs-042</v>
      </c>
      <c r="B49" s="74" t="s">
        <v>143</v>
      </c>
      <c r="C49" s="80" t="s">
        <v>473</v>
      </c>
      <c r="D49" s="83" t="s">
        <v>474</v>
      </c>
      <c r="E49" s="81" t="s">
        <v>475</v>
      </c>
      <c r="F49" s="31" t="s">
        <v>119</v>
      </c>
      <c r="G49" s="74" t="s">
        <v>476</v>
      </c>
      <c r="H49" s="74" t="s">
        <v>477</v>
      </c>
      <c r="I49" s="84"/>
      <c r="J49" s="84"/>
      <c r="K49" s="83" t="s">
        <v>478</v>
      </c>
      <c r="L49" s="83"/>
      <c r="M49" s="83"/>
      <c r="N49" s="83"/>
      <c r="O49" s="77" t="s">
        <v>285</v>
      </c>
      <c r="P49" s="82"/>
      <c r="R49" s="82"/>
      <c r="AU49" s="75" t="str">
        <f>IF($B49="","","BATs-"&amp;TEXT(COUNTIF($B$8:$B49,"?*"),"000"))</f>
        <v>BATs-042</v>
      </c>
      <c r="AV49" s="74" t="s">
        <v>143</v>
      </c>
      <c r="AW49" s="80" t="s">
        <v>473</v>
      </c>
      <c r="AY49" s="79" t="s">
        <v>387</v>
      </c>
    </row>
    <row r="50" spans="1:53" ht="120">
      <c r="A50" s="24" t="str">
        <f>IF($B50="","","BATs-"&amp;TEXT(COUNTIF($B$8:$B50,"?*"),"000"))</f>
        <v>BATs-043</v>
      </c>
      <c r="B50" s="14" t="s">
        <v>143</v>
      </c>
      <c r="C50" s="51" t="s">
        <v>479</v>
      </c>
      <c r="D50" s="140" t="s">
        <v>480</v>
      </c>
      <c r="E50" s="55" t="s">
        <v>481</v>
      </c>
      <c r="F50" s="31" t="s">
        <v>119</v>
      </c>
      <c r="G50" s="68"/>
      <c r="H50" s="68"/>
      <c r="I50" s="68"/>
      <c r="J50" s="68"/>
      <c r="X50" s="73" t="s">
        <v>285</v>
      </c>
      <c r="AU50" s="24" t="str">
        <f>IF($B50="","","BATs-"&amp;TEXT(COUNTIF($B$8:$B50,"?*"),"000"))</f>
        <v>BATs-043</v>
      </c>
      <c r="AV50" s="14" t="s">
        <v>143</v>
      </c>
      <c r="AW50" s="51" t="s">
        <v>479</v>
      </c>
      <c r="AY50" t="s">
        <v>387</v>
      </c>
      <c r="BA50" s="65" t="s">
        <v>482</v>
      </c>
    </row>
    <row r="51" spans="1:53" ht="135">
      <c r="A51" s="24" t="str">
        <f>IF($B51="","","BATs-"&amp;TEXT(COUNTIF($B$8:$B51,"?*"),"000"))</f>
        <v>BATs-044</v>
      </c>
      <c r="B51" s="14" t="s">
        <v>143</v>
      </c>
      <c r="C51" s="51" t="s">
        <v>483</v>
      </c>
      <c r="D51" s="71" t="s">
        <v>484</v>
      </c>
      <c r="E51" s="55" t="s">
        <v>485</v>
      </c>
      <c r="F51" s="31" t="s">
        <v>119</v>
      </c>
      <c r="G51" s="31" t="s">
        <v>486</v>
      </c>
      <c r="H51" s="31" t="s">
        <v>487</v>
      </c>
      <c r="I51" s="86"/>
      <c r="J51" s="68"/>
      <c r="K51" t="s">
        <v>488</v>
      </c>
      <c r="O51" s="16" t="s">
        <v>285</v>
      </c>
      <c r="P51" s="70"/>
      <c r="R51" s="73" t="s">
        <v>285</v>
      </c>
      <c r="U51" s="73" t="s">
        <v>285</v>
      </c>
      <c r="V51" s="73" t="s">
        <v>285</v>
      </c>
      <c r="W51" s="73" t="s">
        <v>285</v>
      </c>
      <c r="AN51" s="73" t="s">
        <v>285</v>
      </c>
      <c r="AU51" s="24" t="str">
        <f>IF($B51="","","BATs-"&amp;TEXT(COUNTIF($B$8:$B51,"?*"),"000"))</f>
        <v>BATs-044</v>
      </c>
      <c r="AV51" s="14" t="s">
        <v>143</v>
      </c>
      <c r="AW51" s="51" t="s">
        <v>489</v>
      </c>
      <c r="AY51" t="s">
        <v>387</v>
      </c>
      <c r="BA51" s="65" t="s">
        <v>490</v>
      </c>
    </row>
    <row r="52" spans="1:53" ht="135">
      <c r="A52" s="24" t="str">
        <f>IF($B52="","","BATs-"&amp;TEXT(COUNTIF($B$8:$B52,"?*"),"000"))</f>
        <v>BATs-045</v>
      </c>
      <c r="B52" s="14" t="s">
        <v>143</v>
      </c>
      <c r="C52" s="51" t="s">
        <v>491</v>
      </c>
      <c r="D52" s="125"/>
      <c r="E52" s="55" t="s">
        <v>492</v>
      </c>
      <c r="F52" s="31" t="s">
        <v>119</v>
      </c>
      <c r="G52" s="68"/>
      <c r="H52" s="68"/>
      <c r="I52" s="68"/>
      <c r="J52" s="68"/>
      <c r="S52" s="73" t="s">
        <v>285</v>
      </c>
      <c r="V52" s="73" t="s">
        <v>285</v>
      </c>
      <c r="X52" s="73" t="s">
        <v>285</v>
      </c>
      <c r="AU52" s="24" t="str">
        <f>IF($B52="","","BATs-"&amp;TEXT(COUNTIF($B$8:$B52,"?*"),"000"))</f>
        <v>BATs-045</v>
      </c>
      <c r="AV52" s="14" t="s">
        <v>143</v>
      </c>
      <c r="AW52" s="51" t="s">
        <v>493</v>
      </c>
      <c r="AY52" t="s">
        <v>387</v>
      </c>
      <c r="BA52" s="65" t="s">
        <v>494</v>
      </c>
    </row>
    <row r="53" spans="1:53" ht="90">
      <c r="A53" s="24" t="str">
        <f>IF($B53="","","BATs-"&amp;TEXT(COUNTIF($B$8:$B53,"?*"),"000"))</f>
        <v>BATs-046</v>
      </c>
      <c r="B53" s="14" t="s">
        <v>143</v>
      </c>
      <c r="C53" s="51" t="s">
        <v>495</v>
      </c>
      <c r="D53" s="143" t="s">
        <v>496</v>
      </c>
      <c r="E53" s="55" t="s">
        <v>497</v>
      </c>
      <c r="F53" s="31" t="s">
        <v>119</v>
      </c>
      <c r="G53" s="68"/>
      <c r="H53" s="68"/>
      <c r="I53" s="68"/>
      <c r="J53" s="68"/>
      <c r="L53" s="73" t="s">
        <v>285</v>
      </c>
      <c r="M53" s="73" t="s">
        <v>285</v>
      </c>
      <c r="N53" s="73" t="s">
        <v>285</v>
      </c>
      <c r="R53" s="73" t="s">
        <v>285</v>
      </c>
      <c r="U53" s="73" t="s">
        <v>285</v>
      </c>
      <c r="W53" s="73"/>
      <c r="AF53" s="73" t="s">
        <v>285</v>
      </c>
      <c r="AJ53" s="73" t="s">
        <v>285</v>
      </c>
      <c r="AK53" s="73" t="s">
        <v>285</v>
      </c>
      <c r="AN53" s="73" t="s">
        <v>285</v>
      </c>
      <c r="AO53" s="73" t="s">
        <v>285</v>
      </c>
      <c r="AU53" s="24" t="str">
        <f>IF($B53="","","BATs-"&amp;TEXT(COUNTIF($B$8:$B53,"?*"),"000"))</f>
        <v>BATs-046</v>
      </c>
      <c r="AV53" s="14" t="s">
        <v>143</v>
      </c>
      <c r="AW53" s="51" t="s">
        <v>495</v>
      </c>
      <c r="AY53" t="s">
        <v>387</v>
      </c>
      <c r="BA53" s="65" t="s">
        <v>430</v>
      </c>
    </row>
    <row r="54" spans="1:53" s="79" customFormat="1" ht="135">
      <c r="A54" s="75" t="str">
        <f>IF($B54="","","BATs-"&amp;TEXT(COUNTIF($B$8:$B54,"?*"),"000"))</f>
        <v>BATs-047</v>
      </c>
      <c r="B54" s="74" t="s">
        <v>143</v>
      </c>
      <c r="C54" s="80" t="s">
        <v>498</v>
      </c>
      <c r="D54" s="75" t="s">
        <v>463</v>
      </c>
      <c r="E54" s="81" t="s">
        <v>499</v>
      </c>
      <c r="F54" s="31" t="s">
        <v>119</v>
      </c>
      <c r="G54" s="84"/>
      <c r="H54" s="84"/>
      <c r="I54" s="84"/>
      <c r="J54" s="84"/>
      <c r="K54" s="75" t="s">
        <v>463</v>
      </c>
      <c r="L54" s="77" t="s">
        <v>285</v>
      </c>
      <c r="M54" s="82"/>
      <c r="N54" s="82"/>
      <c r="O54" s="83"/>
      <c r="P54" s="83"/>
      <c r="R54" s="83"/>
      <c r="AU54" s="75" t="str">
        <f>IF($B54="","","BATs-"&amp;TEXT(COUNTIF($B$8:$B54,"?*"),"000"))</f>
        <v>BATs-047</v>
      </c>
      <c r="AV54" s="74" t="s">
        <v>143</v>
      </c>
      <c r="AW54" s="80" t="s">
        <v>498</v>
      </c>
      <c r="AY54" s="79" t="s">
        <v>387</v>
      </c>
    </row>
    <row r="55" spans="1:53" s="79" customFormat="1" ht="150">
      <c r="A55" s="75" t="str">
        <f>IF($B55="","","BATs-"&amp;TEXT(COUNTIF($B$8:$B55,"?*"),"000"))</f>
        <v>BATs-048</v>
      </c>
      <c r="B55" s="74" t="s">
        <v>143</v>
      </c>
      <c r="C55" s="85" t="s">
        <v>500</v>
      </c>
      <c r="D55" s="78" t="s">
        <v>501</v>
      </c>
      <c r="E55" s="81" t="s">
        <v>502</v>
      </c>
      <c r="F55" s="31" t="s">
        <v>119</v>
      </c>
      <c r="G55" s="74" t="s">
        <v>503</v>
      </c>
      <c r="H55" s="74"/>
      <c r="I55" s="84"/>
      <c r="J55" s="84"/>
      <c r="L55" s="83"/>
      <c r="M55" s="83"/>
      <c r="N55" s="83"/>
      <c r="O55" s="77" t="s">
        <v>285</v>
      </c>
      <c r="P55" s="82"/>
      <c r="R55" s="77" t="s">
        <v>285</v>
      </c>
      <c r="U55" s="77" t="s">
        <v>285</v>
      </c>
      <c r="V55" s="77" t="s">
        <v>285</v>
      </c>
      <c r="X55" s="77" t="s">
        <v>285</v>
      </c>
      <c r="Y55" s="77" t="s">
        <v>285</v>
      </c>
      <c r="AA55" s="77" t="s">
        <v>285</v>
      </c>
      <c r="AE55" s="77" t="s">
        <v>285</v>
      </c>
      <c r="AF55" s="77" t="s">
        <v>285</v>
      </c>
      <c r="AJ55" s="77" t="s">
        <v>285</v>
      </c>
      <c r="AK55" s="77" t="s">
        <v>285</v>
      </c>
      <c r="AN55" s="77" t="s">
        <v>285</v>
      </c>
      <c r="AO55" s="77" t="s">
        <v>285</v>
      </c>
      <c r="AP55" s="77" t="s">
        <v>285</v>
      </c>
      <c r="AU55" s="75" t="str">
        <f>IF($B55="","","BATs-"&amp;TEXT(COUNTIF($B$8:$B55,"?*"),"000"))</f>
        <v>BATs-048</v>
      </c>
      <c r="AV55" s="74" t="s">
        <v>143</v>
      </c>
      <c r="AW55" s="85" t="s">
        <v>500</v>
      </c>
      <c r="AY55" s="79" t="s">
        <v>387</v>
      </c>
    </row>
    <row r="56" spans="1:53" ht="135">
      <c r="A56" s="24" t="str">
        <f>IF($B56="","","BATs-"&amp;TEXT(COUNTIF($B$8:$B56,"?*"),"000"))</f>
        <v>BATs-049</v>
      </c>
      <c r="B56" s="14" t="s">
        <v>143</v>
      </c>
      <c r="C56" s="51" t="s">
        <v>504</v>
      </c>
      <c r="D56" s="143" t="s">
        <v>505</v>
      </c>
      <c r="E56" s="55" t="s">
        <v>506</v>
      </c>
      <c r="F56" s="31" t="s">
        <v>119</v>
      </c>
      <c r="G56" s="68"/>
      <c r="H56" s="68"/>
      <c r="I56" s="68"/>
      <c r="J56" s="68"/>
      <c r="N56" s="73" t="s">
        <v>285</v>
      </c>
      <c r="R56" s="73" t="s">
        <v>285</v>
      </c>
      <c r="S56" s="60" t="s">
        <v>286</v>
      </c>
      <c r="T56" s="60"/>
      <c r="U56" s="73" t="s">
        <v>285</v>
      </c>
      <c r="V56" s="73" t="s">
        <v>285</v>
      </c>
      <c r="X56" s="73" t="s">
        <v>285</v>
      </c>
      <c r="Z56" s="73" t="s">
        <v>285</v>
      </c>
      <c r="AA56" s="73" t="s">
        <v>285</v>
      </c>
      <c r="AB56" s="73" t="s">
        <v>285</v>
      </c>
      <c r="AC56" s="73"/>
      <c r="AD56" s="73" t="s">
        <v>285</v>
      </c>
      <c r="AE56" s="73" t="s">
        <v>285</v>
      </c>
      <c r="AF56" s="73" t="s">
        <v>285</v>
      </c>
      <c r="AN56" s="73" t="s">
        <v>285</v>
      </c>
      <c r="AU56" s="24" t="str">
        <f>IF($B56="","","BATs-"&amp;TEXT(COUNTIF($B$8:$B56,"?*"),"000"))</f>
        <v>BATs-049</v>
      </c>
      <c r="AV56" s="14" t="s">
        <v>143</v>
      </c>
      <c r="AW56" s="51" t="s">
        <v>504</v>
      </c>
      <c r="AY56" t="s">
        <v>387</v>
      </c>
      <c r="BA56" s="65" t="s">
        <v>494</v>
      </c>
    </row>
    <row r="57" spans="1:53" ht="135">
      <c r="A57" s="24" t="str">
        <f>IF($B57="","","BATs-"&amp;TEXT(COUNTIF($B$8:$B57,"?*"),"000"))</f>
        <v>BATs-050</v>
      </c>
      <c r="B57" s="14" t="s">
        <v>143</v>
      </c>
      <c r="C57" s="51" t="s">
        <v>507</v>
      </c>
      <c r="D57" s="143" t="s">
        <v>508</v>
      </c>
      <c r="E57" s="55" t="s">
        <v>509</v>
      </c>
      <c r="F57" s="31" t="s">
        <v>119</v>
      </c>
      <c r="G57" s="68"/>
      <c r="H57" s="68"/>
      <c r="I57" s="68"/>
      <c r="J57" s="68"/>
      <c r="S57" s="73" t="s">
        <v>285</v>
      </c>
      <c r="AU57" s="24" t="str">
        <f>IF($B57="","","BATs-"&amp;TEXT(COUNTIF($B$8:$B57,"?*"),"000"))</f>
        <v>BATs-050</v>
      </c>
      <c r="AV57" s="14" t="s">
        <v>143</v>
      </c>
      <c r="AW57" s="51" t="s">
        <v>510</v>
      </c>
      <c r="AY57" t="s">
        <v>387</v>
      </c>
      <c r="BA57" s="65" t="s">
        <v>494</v>
      </c>
    </row>
    <row r="58" spans="1:53" s="79" customFormat="1" ht="150">
      <c r="A58" s="75" t="str">
        <f>IF($B58="","","BATs-"&amp;TEXT(COUNTIF($B$8:$B58,"?*"),"000"))</f>
        <v>BATs-051</v>
      </c>
      <c r="B58" s="74" t="s">
        <v>143</v>
      </c>
      <c r="C58" s="85" t="s">
        <v>500</v>
      </c>
      <c r="D58" s="78" t="s">
        <v>511</v>
      </c>
      <c r="E58" s="81" t="s">
        <v>512</v>
      </c>
      <c r="F58" s="31" t="s">
        <v>119</v>
      </c>
      <c r="G58" s="74" t="s">
        <v>503</v>
      </c>
      <c r="H58" s="84"/>
      <c r="I58" s="84"/>
      <c r="J58" s="84"/>
      <c r="L58" s="83"/>
      <c r="M58" s="83"/>
      <c r="N58" s="83"/>
      <c r="O58" s="77" t="s">
        <v>285</v>
      </c>
      <c r="P58" s="82"/>
      <c r="R58" s="77" t="s">
        <v>285</v>
      </c>
      <c r="U58" s="77" t="s">
        <v>285</v>
      </c>
      <c r="V58" s="77" t="s">
        <v>285</v>
      </c>
      <c r="X58" s="77" t="s">
        <v>285</v>
      </c>
      <c r="Y58" s="77" t="s">
        <v>285</v>
      </c>
      <c r="AA58" s="77" t="s">
        <v>285</v>
      </c>
      <c r="AE58" s="77" t="s">
        <v>285</v>
      </c>
      <c r="AF58" s="77" t="s">
        <v>285</v>
      </c>
      <c r="AJ58" s="77" t="s">
        <v>285</v>
      </c>
      <c r="AK58" s="77" t="s">
        <v>285</v>
      </c>
      <c r="AN58" s="77" t="s">
        <v>285</v>
      </c>
      <c r="AO58" s="77" t="s">
        <v>285</v>
      </c>
      <c r="AP58" s="77" t="s">
        <v>285</v>
      </c>
      <c r="AU58" s="75" t="str">
        <f>IF($B58="","","BATs-"&amp;TEXT(COUNTIF($B$8:$B58,"?*"),"000"))</f>
        <v>BATs-051</v>
      </c>
      <c r="AV58" s="74" t="s">
        <v>143</v>
      </c>
      <c r="AW58" s="85" t="s">
        <v>500</v>
      </c>
      <c r="AY58" s="79" t="s">
        <v>387</v>
      </c>
      <c r="BA58" s="78" t="s">
        <v>338</v>
      </c>
    </row>
    <row r="59" spans="1:53" s="79" customFormat="1" ht="135">
      <c r="A59" s="75" t="str">
        <f>IF($B59="","","BATs-"&amp;TEXT(COUNTIF($B$8:$B59,"?*"),"000"))</f>
        <v>BATs-052</v>
      </c>
      <c r="B59" s="74" t="s">
        <v>143</v>
      </c>
      <c r="C59" s="80" t="s">
        <v>513</v>
      </c>
      <c r="E59" s="81" t="s">
        <v>514</v>
      </c>
      <c r="F59" s="31" t="s">
        <v>119</v>
      </c>
      <c r="G59" s="84"/>
      <c r="H59" s="84"/>
      <c r="I59" s="84"/>
      <c r="J59" s="84"/>
      <c r="L59" s="83"/>
      <c r="M59" s="83"/>
      <c r="N59" s="83"/>
      <c r="O59" s="83"/>
      <c r="P59" s="83"/>
      <c r="Q59"/>
      <c r="R59" s="83"/>
      <c r="X59" s="111" t="s">
        <v>285</v>
      </c>
      <c r="AU59" s="75" t="str">
        <f>IF($B59="","","BATs-"&amp;TEXT(COUNTIF($B$8:$B59,"?*"),"000"))</f>
        <v>BATs-052</v>
      </c>
      <c r="AV59" s="74" t="s">
        <v>143</v>
      </c>
      <c r="AW59" s="80" t="s">
        <v>513</v>
      </c>
      <c r="AY59" s="79" t="s">
        <v>387</v>
      </c>
      <c r="BA59" s="78" t="s">
        <v>468</v>
      </c>
    </row>
    <row r="60" spans="1:53" ht="120">
      <c r="A60" s="24" t="str">
        <f>IF($B60="","","BATs-"&amp;TEXT(COUNTIF($B$8:$B60,"?*"),"000"))</f>
        <v>BATs-053</v>
      </c>
      <c r="B60" s="14" t="s">
        <v>143</v>
      </c>
      <c r="C60" s="51" t="s">
        <v>515</v>
      </c>
      <c r="D60" s="125" t="s">
        <v>516</v>
      </c>
      <c r="E60" s="55" t="s">
        <v>517</v>
      </c>
      <c r="F60" s="31" t="s">
        <v>119</v>
      </c>
      <c r="G60" s="68"/>
      <c r="H60" s="68"/>
      <c r="I60" s="68"/>
      <c r="J60" s="68"/>
      <c r="L60" s="73" t="s">
        <v>285</v>
      </c>
      <c r="M60" s="73" t="s">
        <v>285</v>
      </c>
      <c r="N60" s="73" t="s">
        <v>285</v>
      </c>
      <c r="O60" s="73" t="s">
        <v>285</v>
      </c>
      <c r="R60" s="73" t="s">
        <v>285</v>
      </c>
      <c r="S60" s="73" t="s">
        <v>285</v>
      </c>
      <c r="T60" s="73" t="s">
        <v>285</v>
      </c>
      <c r="U60" s="73" t="s">
        <v>285</v>
      </c>
      <c r="V60" s="73" t="s">
        <v>285</v>
      </c>
      <c r="W60" s="73"/>
      <c r="X60" s="73" t="s">
        <v>285</v>
      </c>
      <c r="Z60" s="73" t="s">
        <v>285</v>
      </c>
      <c r="AA60" s="73" t="s">
        <v>285</v>
      </c>
      <c r="AB60" s="73" t="s">
        <v>285</v>
      </c>
      <c r="AC60" s="73"/>
      <c r="AD60" s="73" t="s">
        <v>285</v>
      </c>
      <c r="AE60" s="73" t="s">
        <v>285</v>
      </c>
      <c r="AF60" s="73" t="s">
        <v>285</v>
      </c>
      <c r="AG60" s="73" t="s">
        <v>285</v>
      </c>
      <c r="AH60" s="73" t="s">
        <v>285</v>
      </c>
      <c r="AI60" s="73" t="s">
        <v>285</v>
      </c>
      <c r="AJ60" s="73" t="s">
        <v>285</v>
      </c>
      <c r="AK60" s="73" t="s">
        <v>285</v>
      </c>
      <c r="AL60" s="73" t="s">
        <v>285</v>
      </c>
      <c r="AM60" s="73" t="s">
        <v>285</v>
      </c>
      <c r="AN60" s="73" t="s">
        <v>285</v>
      </c>
      <c r="AO60" s="73" t="s">
        <v>285</v>
      </c>
      <c r="AP60" s="73" t="s">
        <v>285</v>
      </c>
      <c r="AQ60" s="73" t="s">
        <v>285</v>
      </c>
      <c r="AR60" s="73" t="s">
        <v>285</v>
      </c>
      <c r="AS60" s="73" t="s">
        <v>285</v>
      </c>
      <c r="AT60" s="73" t="s">
        <v>285</v>
      </c>
      <c r="AU60" s="24" t="str">
        <f>IF($B60="","","BATs-"&amp;TEXT(COUNTIF($B$8:$B60,"?*"),"000"))</f>
        <v>BATs-053</v>
      </c>
      <c r="AV60" s="14" t="s">
        <v>143</v>
      </c>
      <c r="AW60" s="51" t="s">
        <v>518</v>
      </c>
      <c r="AY60" t="s">
        <v>387</v>
      </c>
      <c r="BA60" s="65" t="s">
        <v>519</v>
      </c>
    </row>
    <row r="61" spans="1:53" s="79" customFormat="1" ht="135">
      <c r="A61" s="75" t="str">
        <f>IF($B61="","","BATs-"&amp;TEXT(COUNTIF($B$8:$B61,"?*"),"000"))</f>
        <v>BATs-054</v>
      </c>
      <c r="B61" s="74" t="s">
        <v>143</v>
      </c>
      <c r="C61" s="80" t="s">
        <v>520</v>
      </c>
      <c r="E61" s="81" t="s">
        <v>521</v>
      </c>
      <c r="F61" s="31" t="s">
        <v>119</v>
      </c>
      <c r="G61" s="84"/>
      <c r="H61" s="84"/>
      <c r="I61" s="84"/>
      <c r="J61" s="84"/>
      <c r="L61" s="83"/>
      <c r="M61" s="83"/>
      <c r="N61" s="83"/>
      <c r="O61" s="83"/>
      <c r="P61" s="111" t="s">
        <v>285</v>
      </c>
      <c r="Q61"/>
      <c r="R61" s="83"/>
      <c r="S61" s="83" t="s">
        <v>286</v>
      </c>
      <c r="T61" s="111" t="s">
        <v>285</v>
      </c>
      <c r="U61" s="111" t="s">
        <v>285</v>
      </c>
      <c r="V61" s="111" t="s">
        <v>285</v>
      </c>
      <c r="AH61" s="111" t="s">
        <v>285</v>
      </c>
      <c r="AI61" s="111" t="s">
        <v>285</v>
      </c>
      <c r="AU61" s="75" t="str">
        <f>IF($B61="","","BATs-"&amp;TEXT(COUNTIF($B$8:$B61,"?*"),"000"))</f>
        <v>BATs-054</v>
      </c>
      <c r="AV61" s="74" t="s">
        <v>143</v>
      </c>
      <c r="AW61" s="80" t="s">
        <v>520</v>
      </c>
      <c r="AY61" s="79" t="s">
        <v>387</v>
      </c>
      <c r="BA61" s="78" t="s">
        <v>519</v>
      </c>
    </row>
    <row r="62" spans="1:53" ht="120">
      <c r="A62" s="24" t="str">
        <f>IF($B62="","","BATs-"&amp;TEXT(COUNTIF($B$8:$B62,"?*"),"000"))</f>
        <v>BATs-055</v>
      </c>
      <c r="B62" s="14" t="s">
        <v>143</v>
      </c>
      <c r="C62" s="51" t="s">
        <v>522</v>
      </c>
      <c r="D62" s="125"/>
      <c r="E62" s="55" t="s">
        <v>523</v>
      </c>
      <c r="F62" s="31" t="s">
        <v>119</v>
      </c>
      <c r="G62" s="68"/>
      <c r="H62" s="68"/>
      <c r="I62" s="68"/>
      <c r="J62" s="68"/>
      <c r="R62" s="73" t="s">
        <v>285</v>
      </c>
      <c r="U62" s="73" t="s">
        <v>285</v>
      </c>
      <c r="V62" s="73" t="s">
        <v>285</v>
      </c>
      <c r="X62" s="73"/>
      <c r="AU62" s="24" t="str">
        <f>IF($B62="","","BATs-"&amp;TEXT(COUNTIF($B$8:$B62,"?*"),"000"))</f>
        <v>BATs-055</v>
      </c>
      <c r="AV62" s="14" t="s">
        <v>143</v>
      </c>
      <c r="AW62" s="51" t="s">
        <v>522</v>
      </c>
      <c r="AY62" t="s">
        <v>387</v>
      </c>
      <c r="BA62" s="65" t="s">
        <v>519</v>
      </c>
    </row>
    <row r="63" spans="1:53" ht="90">
      <c r="A63" s="24" t="str">
        <f>IF($B63="","","BATs-"&amp;TEXT(COUNTIF($B$8:$B63,"?*"),"000"))</f>
        <v>BATs-056</v>
      </c>
      <c r="B63" s="14" t="s">
        <v>143</v>
      </c>
      <c r="C63" s="51" t="s">
        <v>524</v>
      </c>
      <c r="D63" s="143" t="s">
        <v>525</v>
      </c>
      <c r="E63" s="55" t="s">
        <v>526</v>
      </c>
      <c r="F63" s="31" t="s">
        <v>119</v>
      </c>
      <c r="G63" s="31" t="s">
        <v>476</v>
      </c>
      <c r="H63" s="31" t="s">
        <v>477</v>
      </c>
      <c r="I63" s="86"/>
      <c r="J63" s="68"/>
      <c r="K63" t="s">
        <v>527</v>
      </c>
      <c r="L63" s="73" t="s">
        <v>285</v>
      </c>
      <c r="M63" s="73" t="s">
        <v>285</v>
      </c>
      <c r="N63" s="73" t="s">
        <v>285</v>
      </c>
      <c r="O63" s="16" t="s">
        <v>285</v>
      </c>
      <c r="P63" s="70"/>
      <c r="R63" s="73" t="s">
        <v>285</v>
      </c>
      <c r="U63" s="73" t="s">
        <v>285</v>
      </c>
      <c r="AK63" s="73" t="s">
        <v>285</v>
      </c>
      <c r="AO63" s="73" t="s">
        <v>285</v>
      </c>
      <c r="AU63" s="24" t="str">
        <f>IF($B63="","","BATs-"&amp;TEXT(COUNTIF($B$8:$B63,"?*"),"000"))</f>
        <v>BATs-056</v>
      </c>
      <c r="AV63" s="14" t="s">
        <v>143</v>
      </c>
      <c r="AW63" s="51" t="s">
        <v>528</v>
      </c>
      <c r="AY63" t="s">
        <v>387</v>
      </c>
      <c r="BA63" s="65" t="s">
        <v>529</v>
      </c>
    </row>
    <row r="64" spans="1:53" ht="120">
      <c r="A64" s="24" t="str">
        <f>IF($B64="","","BATs-"&amp;TEXT(COUNTIF($B$8:$B64,"?*"),"000"))</f>
        <v>BATs-057</v>
      </c>
      <c r="B64" s="14" t="s">
        <v>143</v>
      </c>
      <c r="C64" s="51" t="s">
        <v>530</v>
      </c>
      <c r="D64" s="145" t="s">
        <v>531</v>
      </c>
      <c r="E64" s="55" t="s">
        <v>532</v>
      </c>
      <c r="F64" s="31" t="s">
        <v>119</v>
      </c>
      <c r="G64" s="68"/>
      <c r="H64" s="68"/>
      <c r="I64" s="68"/>
      <c r="J64" s="68"/>
      <c r="K64" t="s">
        <v>533</v>
      </c>
      <c r="L64" s="16"/>
      <c r="M64" s="16"/>
      <c r="N64" s="16"/>
      <c r="O64" s="16"/>
      <c r="R64" s="16" t="s">
        <v>285</v>
      </c>
      <c r="V64" s="73" t="s">
        <v>285</v>
      </c>
      <c r="AU64" s="24" t="str">
        <f>IF($B64="","","BATs-"&amp;TEXT(COUNTIF($B$8:$B64,"?*"),"000"))</f>
        <v>BATs-057</v>
      </c>
      <c r="AV64" s="14" t="s">
        <v>143</v>
      </c>
      <c r="AW64" s="51" t="s">
        <v>534</v>
      </c>
      <c r="AY64" t="s">
        <v>387</v>
      </c>
      <c r="BA64" s="65" t="s">
        <v>494</v>
      </c>
    </row>
    <row r="65" spans="1:53" s="79" customFormat="1" ht="105">
      <c r="A65" s="75" t="str">
        <f>IF($B65="","","BATs-"&amp;TEXT(COUNTIF($B$8:$B65,"?*"),"000"))</f>
        <v>BATs-058</v>
      </c>
      <c r="B65" s="74" t="s">
        <v>143</v>
      </c>
      <c r="C65" s="80" t="s">
        <v>535</v>
      </c>
      <c r="E65" s="81" t="s">
        <v>536</v>
      </c>
      <c r="F65" s="31" t="s">
        <v>119</v>
      </c>
      <c r="G65" s="84"/>
      <c r="H65" s="84"/>
      <c r="I65" s="84"/>
      <c r="J65" s="84"/>
      <c r="L65" s="83"/>
      <c r="M65" s="83"/>
      <c r="N65" s="83"/>
      <c r="O65" s="83"/>
      <c r="P65" s="83"/>
      <c r="Q65"/>
      <c r="R65" s="83"/>
      <c r="S65" s="83"/>
      <c r="T65" s="83"/>
      <c r="X65" s="111" t="s">
        <v>285</v>
      </c>
      <c r="AU65" s="75" t="str">
        <f>IF($B65="","","BATs-"&amp;TEXT(COUNTIF($B$8:$B65,"?*"),"000"))</f>
        <v>BATs-058</v>
      </c>
      <c r="AV65" s="74" t="s">
        <v>143</v>
      </c>
      <c r="AW65" s="80" t="s">
        <v>535</v>
      </c>
      <c r="AY65" s="79" t="s">
        <v>387</v>
      </c>
      <c r="BA65" s="78" t="s">
        <v>519</v>
      </c>
    </row>
    <row r="66" spans="1:53" ht="105">
      <c r="A66" s="24" t="str">
        <f>IF($B66="","","BATs-"&amp;TEXT(COUNTIF($B$8:$B66,"?*"),"000"))</f>
        <v>BATs-059</v>
      </c>
      <c r="B66" s="14" t="s">
        <v>143</v>
      </c>
      <c r="C66" s="51" t="s">
        <v>537</v>
      </c>
      <c r="D66" s="143" t="s">
        <v>538</v>
      </c>
      <c r="E66" s="55" t="s">
        <v>539</v>
      </c>
      <c r="F66" s="31" t="s">
        <v>119</v>
      </c>
      <c r="G66" s="68"/>
      <c r="H66" s="68"/>
      <c r="I66" s="68"/>
      <c r="J66" s="68"/>
      <c r="S66" s="60" t="s">
        <v>286</v>
      </c>
      <c r="T66" s="60"/>
      <c r="V66" s="73" t="s">
        <v>285</v>
      </c>
      <c r="AU66" s="24" t="str">
        <f>IF($B66="","","BATs-"&amp;TEXT(COUNTIF($B$8:$B66,"?*"),"000"))</f>
        <v>BATs-059</v>
      </c>
      <c r="AV66" s="14" t="s">
        <v>143</v>
      </c>
      <c r="AW66" s="51" t="s">
        <v>540</v>
      </c>
      <c r="AY66" t="s">
        <v>387</v>
      </c>
      <c r="BA66" s="65" t="s">
        <v>541</v>
      </c>
    </row>
    <row r="67" spans="1:53" s="79" customFormat="1" ht="45">
      <c r="A67" s="75" t="str">
        <f>IF($B67="","","BATs-"&amp;TEXT(COUNTIF($B$8:$B67,"?*"),"000"))</f>
        <v>BATs-060</v>
      </c>
      <c r="B67" s="74" t="s">
        <v>143</v>
      </c>
      <c r="C67" s="85" t="s">
        <v>542</v>
      </c>
      <c r="E67" s="81" t="s">
        <v>543</v>
      </c>
      <c r="F67" s="31" t="s">
        <v>119</v>
      </c>
      <c r="G67" s="84"/>
      <c r="H67" s="84"/>
      <c r="I67" s="84"/>
      <c r="J67" s="84"/>
      <c r="L67" s="111" t="s">
        <v>285</v>
      </c>
      <c r="M67" s="111" t="s">
        <v>285</v>
      </c>
      <c r="N67" s="111" t="s">
        <v>285</v>
      </c>
      <c r="O67" s="111" t="s">
        <v>285</v>
      </c>
      <c r="P67" s="83"/>
      <c r="Q67"/>
      <c r="R67" s="111" t="s">
        <v>285</v>
      </c>
      <c r="S67" s="111" t="s">
        <v>285</v>
      </c>
      <c r="V67" s="111" t="s">
        <v>285</v>
      </c>
      <c r="W67" s="111" t="s">
        <v>285</v>
      </c>
      <c r="X67" s="111" t="s">
        <v>285</v>
      </c>
      <c r="Z67" s="111" t="s">
        <v>285</v>
      </c>
      <c r="AA67" s="111" t="s">
        <v>285</v>
      </c>
      <c r="AB67" s="111" t="s">
        <v>285</v>
      </c>
      <c r="AC67" s="111"/>
      <c r="AD67" s="111" t="s">
        <v>285</v>
      </c>
      <c r="AE67" s="111" t="s">
        <v>285</v>
      </c>
      <c r="AF67" s="111" t="s">
        <v>285</v>
      </c>
      <c r="AG67" s="111" t="s">
        <v>285</v>
      </c>
      <c r="AH67" s="111" t="s">
        <v>285</v>
      </c>
      <c r="AM67" s="111" t="s">
        <v>285</v>
      </c>
      <c r="AN67" s="111" t="s">
        <v>285</v>
      </c>
      <c r="AU67" s="75" t="str">
        <f>IF($B67="","","BATs-"&amp;TEXT(COUNTIF($B$8:$B67,"?*"),"000"))</f>
        <v>BATs-060</v>
      </c>
      <c r="AV67" s="74" t="s">
        <v>143</v>
      </c>
      <c r="AW67" s="85" t="s">
        <v>542</v>
      </c>
      <c r="AY67" s="79" t="s">
        <v>387</v>
      </c>
      <c r="BA67" s="78" t="s">
        <v>519</v>
      </c>
    </row>
    <row r="68" spans="1:53" s="79" customFormat="1" ht="120">
      <c r="A68" s="75" t="str">
        <f>IF($B68="","","BATs-"&amp;TEXT(COUNTIF($B$8:$B68,"?*"),"000"))</f>
        <v>BATs-061</v>
      </c>
      <c r="B68" s="74" t="s">
        <v>143</v>
      </c>
      <c r="C68" s="80" t="s">
        <v>544</v>
      </c>
      <c r="E68" s="81" t="s">
        <v>545</v>
      </c>
      <c r="F68" s="31" t="s">
        <v>119</v>
      </c>
      <c r="G68" s="84"/>
      <c r="H68" s="84"/>
      <c r="I68" s="84"/>
      <c r="J68" s="84"/>
      <c r="L68" s="83"/>
      <c r="M68" s="83"/>
      <c r="N68" s="83"/>
      <c r="O68" s="83"/>
      <c r="P68" s="111" t="s">
        <v>285</v>
      </c>
      <c r="Q68"/>
      <c r="R68" s="83"/>
      <c r="S68" s="112" t="s">
        <v>286</v>
      </c>
      <c r="T68" s="111" t="s">
        <v>285</v>
      </c>
      <c r="AI68" s="111" t="s">
        <v>285</v>
      </c>
      <c r="AU68" s="75" t="str">
        <f>IF($B68="","","BATs-"&amp;TEXT(COUNTIF($B$8:$B68,"?*"),"000"))</f>
        <v>BATs-061</v>
      </c>
      <c r="AV68" s="74" t="s">
        <v>143</v>
      </c>
      <c r="AW68" s="80" t="s">
        <v>544</v>
      </c>
      <c r="AY68" s="79" t="s">
        <v>387</v>
      </c>
      <c r="BA68" s="78" t="s">
        <v>529</v>
      </c>
    </row>
    <row r="69" spans="1:53" ht="45">
      <c r="A69" s="24" t="str">
        <f>IF($B69="","","BATs-"&amp;TEXT(COUNTIF($B$8:$B69,"?*"),"000"))</f>
        <v>BATs-062</v>
      </c>
      <c r="B69" s="14" t="s">
        <v>143</v>
      </c>
      <c r="C69" s="58" t="s">
        <v>546</v>
      </c>
      <c r="D69" s="125"/>
      <c r="E69" s="55" t="s">
        <v>547</v>
      </c>
      <c r="F69" s="31" t="s">
        <v>119</v>
      </c>
      <c r="G69" s="68"/>
      <c r="H69" s="68"/>
      <c r="I69" s="68"/>
      <c r="J69" s="68"/>
      <c r="S69" s="60" t="s">
        <v>286</v>
      </c>
      <c r="T69" s="60"/>
      <c r="V69" s="73"/>
      <c r="AU69" s="24" t="str">
        <f>IF($B69="","","BATs-"&amp;TEXT(COUNTIF($B$8:$B69,"?*"),"000"))</f>
        <v>BATs-062</v>
      </c>
      <c r="AV69" s="14" t="s">
        <v>143</v>
      </c>
      <c r="AW69" s="58" t="s">
        <v>546</v>
      </c>
      <c r="AY69" t="s">
        <v>387</v>
      </c>
      <c r="BA69" s="65" t="s">
        <v>529</v>
      </c>
    </row>
    <row r="70" spans="1:53" ht="57" customHeight="1">
      <c r="A70" s="24" t="str">
        <f>IF($B70="","","BATs-"&amp;TEXT(COUNTIF($B$8:$B70,"?*"),"000"))</f>
        <v>BATs-063</v>
      </c>
      <c r="B70" s="14" t="s">
        <v>143</v>
      </c>
      <c r="C70" s="51" t="s">
        <v>548</v>
      </c>
      <c r="D70" s="143" t="s">
        <v>549</v>
      </c>
      <c r="E70" s="55" t="s">
        <v>550</v>
      </c>
      <c r="F70" s="31" t="s">
        <v>119</v>
      </c>
      <c r="G70" s="68" t="s">
        <v>551</v>
      </c>
      <c r="H70" s="68"/>
      <c r="I70" s="68"/>
      <c r="J70" s="68"/>
      <c r="L70" s="60" t="s">
        <v>286</v>
      </c>
      <c r="O70" s="60" t="s">
        <v>286</v>
      </c>
      <c r="P70" s="70"/>
      <c r="R70" s="73" t="s">
        <v>285</v>
      </c>
      <c r="S70" s="73" t="s">
        <v>285</v>
      </c>
      <c r="V70" s="73" t="s">
        <v>285</v>
      </c>
      <c r="AU70" s="24" t="str">
        <f>IF($B70="","","BATs-"&amp;TEXT(COUNTIF($B$8:$B70,"?*"),"000"))</f>
        <v>BATs-063</v>
      </c>
      <c r="AV70" s="14" t="s">
        <v>143</v>
      </c>
      <c r="AW70" s="51" t="s">
        <v>552</v>
      </c>
      <c r="AY70" t="s">
        <v>387</v>
      </c>
      <c r="BA70" s="65" t="s">
        <v>494</v>
      </c>
    </row>
    <row r="71" spans="1:53" ht="36">
      <c r="A71" s="24" t="str">
        <f>IF($B71="","","BATs-"&amp;TEXT(COUNTIF($B$8:$B71,"?*"),"000"))</f>
        <v>BATs-064</v>
      </c>
      <c r="B71" s="14" t="s">
        <v>143</v>
      </c>
      <c r="C71" t="s">
        <v>553</v>
      </c>
      <c r="D71" s="143" t="s">
        <v>554</v>
      </c>
      <c r="E71" s="52" t="s">
        <v>555</v>
      </c>
      <c r="F71" s="31" t="s">
        <v>556</v>
      </c>
      <c r="AE71" s="73" t="s">
        <v>285</v>
      </c>
      <c r="AL71" s="73" t="s">
        <v>285</v>
      </c>
      <c r="BA71" s="65" t="s">
        <v>494</v>
      </c>
    </row>
    <row r="72" spans="1:53" ht="200.5" customHeight="1">
      <c r="A72" s="24" t="str">
        <f>IF($B72="","","BATs-"&amp;TEXT(COUNTIF($B$8:$B72,"?*"),"000"))</f>
        <v>BATs-065</v>
      </c>
      <c r="B72" s="14" t="s">
        <v>143</v>
      </c>
      <c r="C72" t="s">
        <v>557</v>
      </c>
      <c r="D72" s="143" t="s">
        <v>558</v>
      </c>
      <c r="E72" s="52" t="s">
        <v>555</v>
      </c>
      <c r="F72" s="31" t="s">
        <v>556</v>
      </c>
      <c r="AE72" s="73" t="s">
        <v>285</v>
      </c>
      <c r="AL72" s="73" t="s">
        <v>285</v>
      </c>
      <c r="BA72" s="65" t="s">
        <v>494</v>
      </c>
    </row>
    <row r="73" spans="1:53">
      <c r="A73" s="24" t="str">
        <f>IF($B73="","","BATs-"&amp;TEXT(COUNTIF($B$8:$B73,"?*"),"000"))</f>
        <v>BATs-066</v>
      </c>
      <c r="B73" s="14" t="s">
        <v>143</v>
      </c>
      <c r="C73" t="s">
        <v>559</v>
      </c>
      <c r="D73" s="125"/>
      <c r="P73" s="73" t="s">
        <v>285</v>
      </c>
      <c r="S73" s="73" t="s">
        <v>285</v>
      </c>
      <c r="AI73" s="73" t="s">
        <v>285</v>
      </c>
      <c r="BA73" s="65" t="s">
        <v>494</v>
      </c>
    </row>
  </sheetData>
  <autoFilter ref="A7:BA73" xr:uid="{686D4E40-CCAE-4822-8F93-742F52CFDEE7}"/>
  <mergeCells count="1">
    <mergeCell ref="L1:AT1"/>
  </mergeCells>
  <phoneticPr fontId="6"/>
  <dataValidations count="2">
    <dataValidation type="list" allowBlank="1" showInputMessage="1" showErrorMessage="1" sqref="F8:F72" xr:uid="{BDE59EF7-9FD0-45BF-BF8E-DC8CE56380F4}">
      <formula1>"完了,対応中"</formula1>
    </dataValidation>
    <dataValidation type="list" allowBlank="1" showInputMessage="1" showErrorMessage="1" errorTitle="入力値を確認してください" error="〇または×を選択してください。" sqref="J8:J70" xr:uid="{F6EF9BD6-F88D-4202-ADEF-D26E4CBAAD9E}">
      <formula1>"〇,×"</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4F13-8F3F-4DD0-BE37-7053BBC52B24}">
  <dimension ref="A1:BO57"/>
  <sheetViews>
    <sheetView workbookViewId="0">
      <selection activeCell="A2" sqref="A2:BL2"/>
    </sheetView>
  </sheetViews>
  <sheetFormatPr defaultRowHeight="18"/>
  <cols>
    <col min="1" max="1" width="24.08203125" customWidth="1"/>
    <col min="2" max="64" width="9.08203125" customWidth="1"/>
  </cols>
  <sheetData>
    <row r="1" spans="1:67" ht="30" customHeight="1">
      <c r="A1" s="158" t="s">
        <v>560</v>
      </c>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c r="BI1" s="158"/>
      <c r="BJ1" s="158"/>
      <c r="BK1" s="158"/>
      <c r="BL1" s="158"/>
    </row>
    <row r="2" spans="1:67" ht="20.149999999999999" customHeight="1">
      <c r="A2" s="159" t="s">
        <v>561</v>
      </c>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59"/>
      <c r="AV2" s="159"/>
      <c r="AW2" s="159"/>
      <c r="AX2" s="159"/>
      <c r="AY2" s="159"/>
      <c r="AZ2" s="159"/>
      <c r="BA2" s="159"/>
      <c r="BB2" s="159"/>
      <c r="BC2" s="159"/>
      <c r="BD2" s="159"/>
      <c r="BE2" s="159"/>
      <c r="BF2" s="159"/>
      <c r="BG2" s="159"/>
      <c r="BH2" s="159"/>
      <c r="BI2" s="159"/>
      <c r="BJ2" s="159"/>
      <c r="BK2" s="159"/>
      <c r="BL2" s="159"/>
    </row>
    <row r="4" spans="1:67" ht="34" customHeight="1">
      <c r="A4" s="160" t="s">
        <v>562</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row>
    <row r="5" spans="1:67" ht="22" customHeight="1">
      <c r="A5" s="161" t="s">
        <v>563</v>
      </c>
      <c r="B5" s="161"/>
      <c r="C5" s="161"/>
      <c r="D5" s="161"/>
      <c r="E5" s="161"/>
      <c r="F5" s="161"/>
      <c r="G5" s="161"/>
      <c r="H5" s="161"/>
      <c r="I5" s="161"/>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1"/>
      <c r="AI5" s="161"/>
      <c r="AJ5" s="161"/>
      <c r="AK5" s="161"/>
      <c r="AL5" s="161"/>
      <c r="AM5" s="161"/>
      <c r="AN5" s="161"/>
      <c r="AO5" s="161"/>
      <c r="AP5" s="161"/>
      <c r="AQ5" s="161"/>
      <c r="AR5" s="161"/>
      <c r="AS5" s="161"/>
      <c r="AT5" s="161"/>
      <c r="AU5" s="161"/>
      <c r="AV5" s="161"/>
      <c r="AW5" s="161"/>
      <c r="AX5" s="161"/>
      <c r="AY5" s="161"/>
      <c r="AZ5" s="161"/>
      <c r="BA5" s="161"/>
      <c r="BB5" s="161"/>
      <c r="BC5" s="161"/>
      <c r="BD5" s="161"/>
      <c r="BE5" s="161"/>
      <c r="BF5" s="161"/>
      <c r="BG5" s="161"/>
      <c r="BH5" s="161"/>
      <c r="BI5" s="161"/>
      <c r="BJ5" s="161"/>
      <c r="BK5" s="161"/>
      <c r="BL5" s="161"/>
    </row>
    <row r="6" spans="1:67" ht="30" customHeight="1">
      <c r="A6" s="62" t="str" cm="1">
        <f t="array" ref="A6:BO41">_xlfn.LET(_xlpm.idRange,熱拡散防止サブシステム要求!$A$8:$A$1005,_xlpm.hdr,熱拡散防止サブシステム要求!$L$7:$AT$7,_xlpm.alloc,熱拡散防止サブシステム要求!$L$8:$AT$1005,_xlpm.keep,_xlpm.idRange&lt;&gt;"",_xlpm.ids,_xlfn._xlws.FILTER(_xlpm.idRange,_xlpm.keep),_xlpm.data,_xlfn._xlws.FILTER(_xlpm.alloc,_xlpm.keep),_xlpm.parts,_xlfn._xlws.SORT(_xlfn.UNIQUE(_xlfn.TOCOL(_xlpm.hdr,1))),_xlfn.VSTACK(_xlfn.HSTACK("部品名＼要求ID",TRANSPOSE(_xlpm.ids)),_xlfn.HSTACK(_xlpm.parts,_xlfn.MAKEARRAY(ROWS(_xlpm.parts),ROWS(_xlpm.ids),_xlfn.LAMBDA(_xlpm.r,_xlpm.c,IF(SUMPRODUCT(--(_xlpm.hdr=INDEX(_xlpm.parts,_xlpm.r)),--(INDEX(_xlpm.data,_xlpm.c,0)="●"))&gt;0,"●",""))))))</f>
        <v>部品名＼要求ID</v>
      </c>
      <c r="B6" s="62" t="str">
        <v>BATs-001</v>
      </c>
      <c r="C6" s="62" t="str">
        <v>BATs-002</v>
      </c>
      <c r="D6" s="62" t="str">
        <v>BATs-003</v>
      </c>
      <c r="E6" s="62" t="str">
        <v>BATs-004</v>
      </c>
      <c r="F6" s="62" t="str">
        <v>BATs-005</v>
      </c>
      <c r="G6" s="62" t="str">
        <v>BATs-006</v>
      </c>
      <c r="H6" s="62" t="str">
        <v>BATs-007</v>
      </c>
      <c r="I6" s="62" t="str">
        <v>BATs-008</v>
      </c>
      <c r="J6" s="62" t="str">
        <v>BATs-009</v>
      </c>
      <c r="K6" s="62" t="str">
        <v>BATs-010</v>
      </c>
      <c r="L6" s="62" t="str">
        <v>BATs-011</v>
      </c>
      <c r="M6" s="62" t="str">
        <v>BATs-012</v>
      </c>
      <c r="N6" s="62" t="str">
        <v>BATs-013</v>
      </c>
      <c r="O6" s="62" t="str">
        <v>BATs-014</v>
      </c>
      <c r="P6" s="62" t="str">
        <v>BATs-015</v>
      </c>
      <c r="Q6" s="62" t="str">
        <v>BATs-016</v>
      </c>
      <c r="R6" s="62" t="str">
        <v>BATs-017</v>
      </c>
      <c r="S6" s="62" t="str">
        <v>BATs-018</v>
      </c>
      <c r="T6" s="62" t="str">
        <v>BATs-019</v>
      </c>
      <c r="U6" s="62" t="str">
        <v>BATs-020</v>
      </c>
      <c r="V6" s="62" t="str">
        <v>BATs-021</v>
      </c>
      <c r="W6" s="62" t="str">
        <v>BATs-022</v>
      </c>
      <c r="X6" s="62" t="str">
        <v>BATs-023</v>
      </c>
      <c r="Y6" s="62" t="str">
        <v>BATs-024</v>
      </c>
      <c r="Z6" s="62" t="str">
        <v>BATs-025</v>
      </c>
      <c r="AA6" s="62" t="str">
        <v>BATs-026</v>
      </c>
      <c r="AB6" s="62" t="str">
        <v>BATs-027</v>
      </c>
      <c r="AC6" s="62" t="str">
        <v>BATs-028</v>
      </c>
      <c r="AD6" s="62" t="str">
        <v>BATs-029</v>
      </c>
      <c r="AE6" s="62" t="str">
        <v>BATs-030</v>
      </c>
      <c r="AF6" s="62" t="str">
        <v>BATs-031</v>
      </c>
      <c r="AG6" s="62" t="str">
        <v>BATs-032</v>
      </c>
      <c r="AH6" s="62" t="str">
        <v>BATs-033</v>
      </c>
      <c r="AI6" s="62" t="str">
        <v>BATs-034</v>
      </c>
      <c r="AJ6" s="62" t="str">
        <v>BATs-035</v>
      </c>
      <c r="AK6" s="62" t="str">
        <v>BATs-036</v>
      </c>
      <c r="AL6" s="62" t="str">
        <v>BATs-037</v>
      </c>
      <c r="AM6" s="62" t="str">
        <v>BATs-038</v>
      </c>
      <c r="AN6" s="62" t="str">
        <v>BATs-039</v>
      </c>
      <c r="AO6" s="62" t="str">
        <v>BATs-040</v>
      </c>
      <c r="AP6" s="62" t="str">
        <v>BATs-041</v>
      </c>
      <c r="AQ6" s="62" t="str">
        <v>BATs-042</v>
      </c>
      <c r="AR6" s="62" t="str">
        <v>BATs-043</v>
      </c>
      <c r="AS6" s="62" t="str">
        <v>BATs-044</v>
      </c>
      <c r="AT6" s="62" t="str">
        <v>BATs-045</v>
      </c>
      <c r="AU6" s="62" t="str">
        <v>BATs-046</v>
      </c>
      <c r="AV6" s="62" t="str">
        <v>BATs-047</v>
      </c>
      <c r="AW6" s="62" t="str">
        <v>BATs-048</v>
      </c>
      <c r="AX6" s="62" t="str">
        <v>BATs-049</v>
      </c>
      <c r="AY6" s="62" t="str">
        <v>BATs-050</v>
      </c>
      <c r="AZ6" s="62" t="str">
        <v>BATs-051</v>
      </c>
      <c r="BA6" s="62" t="str">
        <v>BATs-052</v>
      </c>
      <c r="BB6" s="62" t="str">
        <v>BATs-053</v>
      </c>
      <c r="BC6" s="62" t="str">
        <v>BATs-054</v>
      </c>
      <c r="BD6" s="62" t="str">
        <v>BATs-055</v>
      </c>
      <c r="BE6" s="62" t="str">
        <v>BATs-056</v>
      </c>
      <c r="BF6" s="62" t="str">
        <v>BATs-057</v>
      </c>
      <c r="BG6" s="62" t="str">
        <v>BATs-058</v>
      </c>
      <c r="BH6" s="62" t="str">
        <v>BATs-059</v>
      </c>
      <c r="BI6" s="62" t="str">
        <v>BATs-060</v>
      </c>
      <c r="BJ6" s="62" t="str">
        <v>BATs-061</v>
      </c>
      <c r="BK6" s="62" t="str">
        <v>BATs-062</v>
      </c>
      <c r="BL6" s="62" t="str">
        <v>BATs-063</v>
      </c>
      <c r="BM6" t="str">
        <v>BATs-064</v>
      </c>
      <c r="BN6" t="str">
        <v>BATs-065</v>
      </c>
      <c r="BO6" t="str">
        <v>BATs-066</v>
      </c>
    </row>
    <row r="7" spans="1:67" ht="22" customHeight="1">
      <c r="A7" s="63" t="str">
        <v>BBM</v>
      </c>
      <c r="B7" s="64" t="str">
        <v/>
      </c>
      <c r="C7" s="64" t="str">
        <v/>
      </c>
      <c r="D7" s="64" t="str">
        <v/>
      </c>
      <c r="E7" s="64" t="str">
        <v/>
      </c>
      <c r="F7" s="64" t="str">
        <v/>
      </c>
      <c r="G7" s="64" t="str">
        <v/>
      </c>
      <c r="H7" s="64" t="str">
        <v/>
      </c>
      <c r="I7" s="64" t="str">
        <v/>
      </c>
      <c r="J7" s="64" t="str">
        <v/>
      </c>
      <c r="K7" s="64" t="str">
        <v/>
      </c>
      <c r="L7" s="64" t="str">
        <v/>
      </c>
      <c r="M7" s="64" t="str">
        <v/>
      </c>
      <c r="N7" s="64" t="str">
        <v/>
      </c>
      <c r="O7" s="64" t="str">
        <v/>
      </c>
      <c r="P7" s="64" t="str">
        <v/>
      </c>
      <c r="Q7" s="64" t="str">
        <v/>
      </c>
      <c r="R7" s="64" t="str">
        <v/>
      </c>
      <c r="S7" s="64" t="str">
        <v/>
      </c>
      <c r="T7" s="64" t="str">
        <v/>
      </c>
      <c r="U7" s="64" t="str">
        <v/>
      </c>
      <c r="V7" s="64" t="str">
        <v>●</v>
      </c>
      <c r="W7" s="64" t="str">
        <v>●</v>
      </c>
      <c r="X7" s="64" t="str">
        <v/>
      </c>
      <c r="Y7" s="64" t="str">
        <v/>
      </c>
      <c r="Z7" s="64" t="str">
        <v/>
      </c>
      <c r="AA7" s="64" t="str">
        <v/>
      </c>
      <c r="AB7" s="64" t="str">
        <v/>
      </c>
      <c r="AC7" s="64" t="str">
        <v/>
      </c>
      <c r="AD7" s="64" t="str">
        <v>●</v>
      </c>
      <c r="AE7" s="64" t="str">
        <v/>
      </c>
      <c r="AF7" s="64" t="str">
        <v/>
      </c>
      <c r="AG7" s="64" t="str">
        <v/>
      </c>
      <c r="AH7" s="64" t="str">
        <v/>
      </c>
      <c r="AI7" s="64" t="str">
        <v/>
      </c>
      <c r="AJ7" s="64" t="str">
        <v/>
      </c>
      <c r="AK7" s="64" t="str">
        <v/>
      </c>
      <c r="AL7" s="64" t="str">
        <v/>
      </c>
      <c r="AM7" s="64" t="str">
        <v/>
      </c>
      <c r="AN7" s="64" t="str">
        <v/>
      </c>
      <c r="AO7" s="64" t="str">
        <v>●</v>
      </c>
      <c r="AP7" s="64" t="str">
        <v>●</v>
      </c>
      <c r="AQ7" s="64" t="str">
        <v/>
      </c>
      <c r="AR7" s="64" t="str">
        <v/>
      </c>
      <c r="AS7" s="64" t="str">
        <v/>
      </c>
      <c r="AT7" s="64" t="str">
        <v/>
      </c>
      <c r="AU7" s="64" t="str">
        <v>●</v>
      </c>
      <c r="AV7" s="64" t="str">
        <v/>
      </c>
      <c r="AW7" s="64" t="str">
        <v>●</v>
      </c>
      <c r="AX7" s="64" t="str">
        <v>●</v>
      </c>
      <c r="AY7" s="64" t="str">
        <v/>
      </c>
      <c r="AZ7" s="64" t="str">
        <v>●</v>
      </c>
      <c r="BA7" s="64" t="str">
        <v/>
      </c>
      <c r="BB7" s="64" t="str">
        <v>●</v>
      </c>
      <c r="BC7" s="64" t="str">
        <v/>
      </c>
      <c r="BD7" s="64" t="str">
        <v/>
      </c>
      <c r="BE7" s="64" t="str">
        <v/>
      </c>
      <c r="BF7" s="64" t="str">
        <v/>
      </c>
      <c r="BG7" s="64" t="str">
        <v/>
      </c>
      <c r="BH7" s="64" t="str">
        <v/>
      </c>
      <c r="BI7" s="64" t="str">
        <v>●</v>
      </c>
      <c r="BJ7" s="64" t="str">
        <v/>
      </c>
      <c r="BK7" s="64" t="str">
        <v/>
      </c>
      <c r="BL7" s="64" t="str">
        <v/>
      </c>
      <c r="BM7" t="str">
        <v/>
      </c>
      <c r="BN7" t="str">
        <v/>
      </c>
      <c r="BO7" t="str">
        <v/>
      </c>
    </row>
    <row r="8" spans="1:67" ht="22" customHeight="1">
      <c r="A8" s="63" t="str">
        <v>BBMコネクタ</v>
      </c>
      <c r="B8" s="64" t="str">
        <v/>
      </c>
      <c r="C8" s="64" t="str">
        <v/>
      </c>
      <c r="D8" s="64" t="str">
        <v>●</v>
      </c>
      <c r="E8" s="64" t="str">
        <v>●</v>
      </c>
      <c r="F8" s="64" t="str">
        <v/>
      </c>
      <c r="G8" s="64" t="str">
        <v/>
      </c>
      <c r="H8" s="64" t="str">
        <v/>
      </c>
      <c r="I8" s="64" t="str">
        <v/>
      </c>
      <c r="J8" s="64" t="str">
        <v/>
      </c>
      <c r="K8" s="64" t="str">
        <v/>
      </c>
      <c r="L8" s="64" t="str">
        <v/>
      </c>
      <c r="M8" s="64" t="str">
        <v/>
      </c>
      <c r="N8" s="64" t="str">
        <v/>
      </c>
      <c r="O8" s="64" t="str">
        <v/>
      </c>
      <c r="P8" s="64" t="str">
        <v/>
      </c>
      <c r="Q8" s="64" t="str">
        <v/>
      </c>
      <c r="R8" s="64" t="str">
        <v/>
      </c>
      <c r="S8" s="64" t="str">
        <v/>
      </c>
      <c r="T8" s="64" t="str">
        <v>●</v>
      </c>
      <c r="U8" s="64" t="str">
        <v/>
      </c>
      <c r="V8" s="64" t="str">
        <v>●</v>
      </c>
      <c r="W8" s="64" t="str">
        <v>●</v>
      </c>
      <c r="X8" s="64" t="str">
        <v/>
      </c>
      <c r="Y8" s="64" t="str">
        <v/>
      </c>
      <c r="Z8" s="64" t="str">
        <v/>
      </c>
      <c r="AA8" s="64" t="str">
        <v/>
      </c>
      <c r="AB8" s="64" t="str">
        <v/>
      </c>
      <c r="AC8" s="64" t="str">
        <v/>
      </c>
      <c r="AD8" s="64" t="str">
        <v>●</v>
      </c>
      <c r="AE8" s="64" t="str">
        <v/>
      </c>
      <c r="AF8" s="64" t="str">
        <v/>
      </c>
      <c r="AG8" s="64" t="str">
        <v/>
      </c>
      <c r="AH8" s="64" t="str">
        <v/>
      </c>
      <c r="AI8" s="64" t="str">
        <v/>
      </c>
      <c r="AJ8" s="64" t="str">
        <v/>
      </c>
      <c r="AK8" s="64" t="str">
        <v/>
      </c>
      <c r="AL8" s="64" t="str">
        <v/>
      </c>
      <c r="AM8" s="64" t="str">
        <v/>
      </c>
      <c r="AN8" s="64" t="str">
        <v/>
      </c>
      <c r="AO8" s="64" t="str">
        <v>●</v>
      </c>
      <c r="AP8" s="64" t="str">
        <v>●</v>
      </c>
      <c r="AQ8" s="64" t="str">
        <v/>
      </c>
      <c r="AR8" s="64" t="str">
        <v/>
      </c>
      <c r="AS8" s="64" t="str">
        <v/>
      </c>
      <c r="AT8" s="64" t="str">
        <v/>
      </c>
      <c r="AU8" s="64" t="str">
        <v/>
      </c>
      <c r="AV8" s="64" t="str">
        <v/>
      </c>
      <c r="AW8" s="64" t="str">
        <v/>
      </c>
      <c r="AX8" s="64" t="str">
        <v/>
      </c>
      <c r="AY8" s="64" t="str">
        <v/>
      </c>
      <c r="AZ8" s="64" t="str">
        <v/>
      </c>
      <c r="BA8" s="64" t="str">
        <v/>
      </c>
      <c r="BB8" s="64" t="str">
        <v>●</v>
      </c>
      <c r="BC8" s="64" t="str">
        <v/>
      </c>
      <c r="BD8" s="64" t="str">
        <v/>
      </c>
      <c r="BE8" s="64" t="str">
        <v/>
      </c>
      <c r="BF8" s="64" t="str">
        <v/>
      </c>
      <c r="BG8" s="64" t="str">
        <v/>
      </c>
      <c r="BH8" s="64" t="str">
        <v/>
      </c>
      <c r="BI8" s="64" t="str">
        <v>●</v>
      </c>
      <c r="BJ8" s="64" t="str">
        <v/>
      </c>
      <c r="BK8" s="64" t="str">
        <v/>
      </c>
      <c r="BL8" s="64" t="str">
        <v/>
      </c>
      <c r="BM8" t="str">
        <v/>
      </c>
      <c r="BN8" t="str">
        <v/>
      </c>
      <c r="BO8" t="str">
        <v/>
      </c>
    </row>
    <row r="9" spans="1:67">
      <c r="A9" s="63" t="str">
        <v>ECU</v>
      </c>
      <c r="B9" s="64" t="str">
        <v/>
      </c>
      <c r="C9" s="64" t="str">
        <v/>
      </c>
      <c r="D9" s="64" t="str">
        <v/>
      </c>
      <c r="E9" s="64" t="str">
        <v/>
      </c>
      <c r="F9" s="64" t="str">
        <v/>
      </c>
      <c r="G9" s="64" t="str">
        <v/>
      </c>
      <c r="H9" s="64" t="str">
        <v/>
      </c>
      <c r="I9" s="64" t="str">
        <v/>
      </c>
      <c r="J9" s="64" t="str">
        <v/>
      </c>
      <c r="K9" s="64" t="str">
        <v/>
      </c>
      <c r="L9" s="64" t="str">
        <v/>
      </c>
      <c r="M9" s="64" t="str">
        <v/>
      </c>
      <c r="N9" s="64" t="str">
        <v/>
      </c>
      <c r="O9" s="64" t="str">
        <v/>
      </c>
      <c r="P9" s="64" t="str">
        <v/>
      </c>
      <c r="Q9" s="64" t="str">
        <v/>
      </c>
      <c r="R9" s="64" t="str">
        <v/>
      </c>
      <c r="S9" s="64" t="str">
        <v/>
      </c>
      <c r="T9" s="64" t="str">
        <v>●</v>
      </c>
      <c r="U9" s="64" t="str">
        <v/>
      </c>
      <c r="V9" s="64" t="str">
        <v>●</v>
      </c>
      <c r="W9" s="64" t="str">
        <v>●</v>
      </c>
      <c r="X9" s="64" t="str">
        <v/>
      </c>
      <c r="Y9" s="64" t="str">
        <v/>
      </c>
      <c r="Z9" s="64" t="str">
        <v/>
      </c>
      <c r="AA9" s="64" t="str">
        <v/>
      </c>
      <c r="AB9" s="64" t="str">
        <v/>
      </c>
      <c r="AC9" s="64" t="str">
        <v/>
      </c>
      <c r="AD9" s="64" t="str">
        <v>●</v>
      </c>
      <c r="AE9" s="64" t="str">
        <v/>
      </c>
      <c r="AF9" s="64" t="str">
        <v/>
      </c>
      <c r="AG9" s="64" t="str">
        <v/>
      </c>
      <c r="AH9" s="64" t="str">
        <v/>
      </c>
      <c r="AI9" s="64" t="str">
        <v/>
      </c>
      <c r="AJ9" s="64" t="str">
        <v/>
      </c>
      <c r="AK9" s="64" t="str">
        <v/>
      </c>
      <c r="AL9" s="64" t="str">
        <v/>
      </c>
      <c r="AM9" s="64" t="str">
        <v/>
      </c>
      <c r="AN9" s="64" t="str">
        <v/>
      </c>
      <c r="AO9" s="64" t="str">
        <v>●</v>
      </c>
      <c r="AP9" s="64" t="str">
        <v>●</v>
      </c>
      <c r="AQ9" s="64" t="str">
        <v/>
      </c>
      <c r="AR9" s="64" t="str">
        <v/>
      </c>
      <c r="AS9" s="64" t="str">
        <v/>
      </c>
      <c r="AT9" s="64" t="str">
        <v/>
      </c>
      <c r="AU9" s="64" t="str">
        <v/>
      </c>
      <c r="AV9" s="64" t="str">
        <v/>
      </c>
      <c r="AW9" s="64" t="str">
        <v>●</v>
      </c>
      <c r="AX9" s="64" t="str">
        <v>●</v>
      </c>
      <c r="AY9" s="64" t="str">
        <v/>
      </c>
      <c r="AZ9" s="64" t="str">
        <v>●</v>
      </c>
      <c r="BA9" s="64" t="str">
        <v/>
      </c>
      <c r="BB9" s="64" t="str">
        <v>●</v>
      </c>
      <c r="BC9" s="64" t="str">
        <v/>
      </c>
      <c r="BD9" s="64" t="str">
        <v/>
      </c>
      <c r="BE9" s="64" t="str">
        <v/>
      </c>
      <c r="BF9" s="64" t="str">
        <v/>
      </c>
      <c r="BG9" s="64" t="str">
        <v/>
      </c>
      <c r="BH9" s="64" t="str">
        <v/>
      </c>
      <c r="BI9" s="64" t="str">
        <v>●</v>
      </c>
      <c r="BJ9" s="64" t="str">
        <v/>
      </c>
      <c r="BK9" s="64" t="str">
        <v/>
      </c>
      <c r="BL9" s="64" t="str">
        <v/>
      </c>
      <c r="BM9" t="str">
        <v>●</v>
      </c>
      <c r="BN9" t="str">
        <v>●</v>
      </c>
      <c r="BO9" t="str">
        <v/>
      </c>
    </row>
    <row r="10" spans="1:67">
      <c r="A10" s="63" t="str">
        <v>J/B</v>
      </c>
      <c r="B10" s="64" t="str">
        <v/>
      </c>
      <c r="C10" s="64" t="str">
        <v/>
      </c>
      <c r="D10" s="64" t="str">
        <v>●</v>
      </c>
      <c r="E10" s="64" t="str">
        <v>●</v>
      </c>
      <c r="F10" s="64" t="str">
        <v/>
      </c>
      <c r="G10" s="64" t="str">
        <v/>
      </c>
      <c r="H10" s="64" t="str">
        <v/>
      </c>
      <c r="I10" s="64" t="str">
        <v/>
      </c>
      <c r="J10" s="64" t="str">
        <v/>
      </c>
      <c r="K10" s="64" t="str">
        <v/>
      </c>
      <c r="L10" s="64" t="str">
        <v/>
      </c>
      <c r="M10" s="64" t="str">
        <v/>
      </c>
      <c r="N10" s="64" t="str">
        <v/>
      </c>
      <c r="O10" s="64" t="str">
        <v/>
      </c>
      <c r="P10" s="64" t="str">
        <v/>
      </c>
      <c r="Q10" s="64" t="str">
        <v/>
      </c>
      <c r="R10" s="64" t="str">
        <v/>
      </c>
      <c r="S10" s="64" t="str">
        <v/>
      </c>
      <c r="T10" s="64" t="str">
        <v>●</v>
      </c>
      <c r="U10" s="64" t="str">
        <v/>
      </c>
      <c r="V10" s="64" t="str">
        <v>●</v>
      </c>
      <c r="W10" s="64" t="str">
        <v>●</v>
      </c>
      <c r="X10" s="64" t="str">
        <v/>
      </c>
      <c r="Y10" s="64" t="str">
        <v/>
      </c>
      <c r="Z10" s="64" t="str">
        <v/>
      </c>
      <c r="AA10" s="64" t="str">
        <v/>
      </c>
      <c r="AB10" s="64" t="str">
        <v/>
      </c>
      <c r="AC10" s="64" t="str">
        <v/>
      </c>
      <c r="AD10" s="64" t="str">
        <v>●</v>
      </c>
      <c r="AE10" s="64" t="str">
        <v/>
      </c>
      <c r="AF10" s="64" t="str">
        <v/>
      </c>
      <c r="AG10" s="64" t="str">
        <v/>
      </c>
      <c r="AH10" s="64" t="str">
        <v/>
      </c>
      <c r="AI10" s="64" t="str">
        <v/>
      </c>
      <c r="AJ10" s="64" t="str">
        <v/>
      </c>
      <c r="AK10" s="64" t="str">
        <v/>
      </c>
      <c r="AL10" s="64" t="str">
        <v/>
      </c>
      <c r="AM10" s="64" t="str">
        <v/>
      </c>
      <c r="AN10" s="64" t="str">
        <v/>
      </c>
      <c r="AO10" s="64" t="str">
        <v>●</v>
      </c>
      <c r="AP10" s="64" t="str">
        <v>●</v>
      </c>
      <c r="AQ10" s="64" t="str">
        <v/>
      </c>
      <c r="AR10" s="64" t="str">
        <v/>
      </c>
      <c r="AS10" s="64" t="str">
        <v/>
      </c>
      <c r="AT10" s="64" t="str">
        <v/>
      </c>
      <c r="AU10" s="64" t="str">
        <v/>
      </c>
      <c r="AV10" s="64" t="str">
        <v/>
      </c>
      <c r="AW10" s="64" t="str">
        <v/>
      </c>
      <c r="AX10" s="64" t="str">
        <v>●</v>
      </c>
      <c r="AY10" s="64" t="str">
        <v/>
      </c>
      <c r="AZ10" s="64" t="str">
        <v/>
      </c>
      <c r="BA10" s="64" t="str">
        <v/>
      </c>
      <c r="BB10" s="64" t="str">
        <v>●</v>
      </c>
      <c r="BC10" s="64" t="str">
        <v/>
      </c>
      <c r="BD10" s="64" t="str">
        <v/>
      </c>
      <c r="BE10" s="64" t="str">
        <v/>
      </c>
      <c r="BF10" s="64" t="str">
        <v/>
      </c>
      <c r="BG10" s="64" t="str">
        <v/>
      </c>
      <c r="BH10" s="64" t="str">
        <v/>
      </c>
      <c r="BI10" s="64" t="str">
        <v>●</v>
      </c>
      <c r="BJ10" s="64" t="str">
        <v/>
      </c>
      <c r="BK10" s="64" t="str">
        <v/>
      </c>
      <c r="BL10" s="64" t="str">
        <v/>
      </c>
      <c r="BM10" t="str">
        <v/>
      </c>
      <c r="BN10" t="str">
        <v/>
      </c>
      <c r="BO10" t="str">
        <v/>
      </c>
    </row>
    <row r="11" spans="1:67">
      <c r="A11" s="63" t="str">
        <v>MOD間バスバ</v>
      </c>
      <c r="B11" s="64" t="str">
        <v/>
      </c>
      <c r="C11" s="64" t="str">
        <v/>
      </c>
      <c r="D11" s="64" t="str">
        <v>●</v>
      </c>
      <c r="E11" s="64" t="str">
        <v>●</v>
      </c>
      <c r="F11" s="64" t="str">
        <v>●</v>
      </c>
      <c r="G11" s="64" t="str">
        <v>●</v>
      </c>
      <c r="H11" s="64" t="str">
        <v/>
      </c>
      <c r="I11" s="64" t="str">
        <v/>
      </c>
      <c r="J11" s="64" t="str">
        <v>●</v>
      </c>
      <c r="K11" s="64" t="str">
        <v/>
      </c>
      <c r="L11" s="64" t="str">
        <v/>
      </c>
      <c r="M11" s="64" t="str">
        <v/>
      </c>
      <c r="N11" s="64" t="str">
        <v/>
      </c>
      <c r="O11" s="64" t="str">
        <v/>
      </c>
      <c r="P11" s="64" t="str">
        <v/>
      </c>
      <c r="Q11" s="64" t="str">
        <v/>
      </c>
      <c r="R11" s="64" t="str">
        <v/>
      </c>
      <c r="S11" s="64" t="str">
        <v/>
      </c>
      <c r="T11" s="64" t="str">
        <v/>
      </c>
      <c r="U11" s="64" t="str">
        <v/>
      </c>
      <c r="V11" s="64" t="str">
        <v>●</v>
      </c>
      <c r="W11" s="64" t="str">
        <v>●</v>
      </c>
      <c r="X11" s="64" t="str">
        <v/>
      </c>
      <c r="Y11" s="64" t="str">
        <v/>
      </c>
      <c r="Z11" s="64" t="str">
        <v/>
      </c>
      <c r="AA11" s="64" t="str">
        <v/>
      </c>
      <c r="AB11" s="64" t="str">
        <v/>
      </c>
      <c r="AC11" s="64" t="str">
        <v/>
      </c>
      <c r="AD11" s="64" t="str">
        <v>●</v>
      </c>
      <c r="AE11" s="64" t="str">
        <v/>
      </c>
      <c r="AF11" s="64" t="str">
        <v/>
      </c>
      <c r="AG11" s="64" t="str">
        <v/>
      </c>
      <c r="AH11" s="64" t="str">
        <v/>
      </c>
      <c r="AI11" s="64" t="str">
        <v/>
      </c>
      <c r="AJ11" s="64" t="str">
        <v/>
      </c>
      <c r="AK11" s="64" t="str">
        <v/>
      </c>
      <c r="AL11" s="64" t="str">
        <v/>
      </c>
      <c r="AM11" s="64" t="str">
        <v/>
      </c>
      <c r="AN11" s="64" t="str">
        <v/>
      </c>
      <c r="AO11" s="64" t="str">
        <v>●</v>
      </c>
      <c r="AP11" s="64" t="str">
        <v>●</v>
      </c>
      <c r="AQ11" s="64" t="str">
        <v/>
      </c>
      <c r="AR11" s="64" t="str">
        <v/>
      </c>
      <c r="AS11" s="64" t="str">
        <v>●</v>
      </c>
      <c r="AT11" s="64" t="str">
        <v/>
      </c>
      <c r="AU11" s="64" t="str">
        <v/>
      </c>
      <c r="AV11" s="64" t="str">
        <v/>
      </c>
      <c r="AW11" s="64" t="str">
        <v/>
      </c>
      <c r="AX11" s="64" t="str">
        <v/>
      </c>
      <c r="AY11" s="64" t="str">
        <v/>
      </c>
      <c r="AZ11" s="64" t="str">
        <v/>
      </c>
      <c r="BA11" s="64" t="str">
        <v/>
      </c>
      <c r="BB11" s="64" t="str">
        <v/>
      </c>
      <c r="BC11" s="64" t="str">
        <v/>
      </c>
      <c r="BD11" s="64" t="str">
        <v/>
      </c>
      <c r="BE11" s="64" t="str">
        <v/>
      </c>
      <c r="BF11" s="64" t="str">
        <v/>
      </c>
      <c r="BG11" s="64" t="str">
        <v/>
      </c>
      <c r="BH11" s="64" t="str">
        <v/>
      </c>
      <c r="BI11" s="64" t="str">
        <v>●</v>
      </c>
      <c r="BJ11" s="64" t="str">
        <v/>
      </c>
      <c r="BK11" s="64" t="str">
        <v/>
      </c>
      <c r="BL11" s="64" t="str">
        <v/>
      </c>
      <c r="BM11" t="str">
        <v/>
      </c>
      <c r="BN11" t="str">
        <v/>
      </c>
      <c r="BO11" t="str">
        <v/>
      </c>
    </row>
    <row r="12" spans="1:67">
      <c r="A12" s="63" t="str">
        <v>PNコネクタ</v>
      </c>
      <c r="B12" s="64" t="str">
        <v>●</v>
      </c>
      <c r="C12" s="64" t="str">
        <v/>
      </c>
      <c r="D12" s="64" t="str">
        <v/>
      </c>
      <c r="E12" s="64" t="str">
        <v/>
      </c>
      <c r="F12" s="64" t="str">
        <v/>
      </c>
      <c r="G12" s="64" t="str">
        <v/>
      </c>
      <c r="H12" s="64" t="str">
        <v/>
      </c>
      <c r="I12" s="64" t="str">
        <v/>
      </c>
      <c r="J12" s="64" t="str">
        <v/>
      </c>
      <c r="K12" s="64" t="str">
        <v/>
      </c>
      <c r="L12" s="64" t="str">
        <v/>
      </c>
      <c r="M12" s="64" t="str">
        <v/>
      </c>
      <c r="N12" s="64" t="str">
        <v/>
      </c>
      <c r="O12" s="64" t="str">
        <v/>
      </c>
      <c r="P12" s="64" t="str">
        <v/>
      </c>
      <c r="Q12" s="64" t="str">
        <v/>
      </c>
      <c r="R12" s="64" t="str">
        <v/>
      </c>
      <c r="S12" s="64" t="str">
        <v/>
      </c>
      <c r="T12" s="64" t="str">
        <v>●</v>
      </c>
      <c r="U12" s="64" t="str">
        <v/>
      </c>
      <c r="V12" s="64" t="str">
        <v>●</v>
      </c>
      <c r="W12" s="64" t="str">
        <v>●</v>
      </c>
      <c r="X12" s="64" t="str">
        <v/>
      </c>
      <c r="Y12" s="64" t="str">
        <v/>
      </c>
      <c r="Z12" s="64" t="str">
        <v/>
      </c>
      <c r="AA12" s="64" t="str">
        <v/>
      </c>
      <c r="AB12" s="64" t="str">
        <v/>
      </c>
      <c r="AC12" s="64" t="str">
        <v/>
      </c>
      <c r="AD12" s="64" t="str">
        <v>●</v>
      </c>
      <c r="AE12" s="64" t="str">
        <v/>
      </c>
      <c r="AF12" s="64" t="str">
        <v/>
      </c>
      <c r="AG12" s="64" t="str">
        <v/>
      </c>
      <c r="AH12" s="64" t="str">
        <v/>
      </c>
      <c r="AI12" s="64" t="str">
        <v/>
      </c>
      <c r="AJ12" s="64" t="str">
        <v/>
      </c>
      <c r="AK12" s="64" t="str">
        <v/>
      </c>
      <c r="AL12" s="64" t="str">
        <v/>
      </c>
      <c r="AM12" s="64" t="str">
        <v/>
      </c>
      <c r="AN12" s="64" t="str">
        <v/>
      </c>
      <c r="AO12" s="64" t="str">
        <v>●</v>
      </c>
      <c r="AP12" s="64" t="str">
        <v>●</v>
      </c>
      <c r="AQ12" s="64" t="str">
        <v/>
      </c>
      <c r="AR12" s="64" t="str">
        <v/>
      </c>
      <c r="AS12" s="64" t="str">
        <v/>
      </c>
      <c r="AT12" s="64" t="str">
        <v/>
      </c>
      <c r="AU12" s="64" t="str">
        <v/>
      </c>
      <c r="AV12" s="64" t="str">
        <v/>
      </c>
      <c r="AW12" s="64" t="str">
        <v/>
      </c>
      <c r="AX12" s="64" t="str">
        <v>●</v>
      </c>
      <c r="AY12" s="64" t="str">
        <v/>
      </c>
      <c r="AZ12" s="64" t="str">
        <v/>
      </c>
      <c r="BA12" s="64" t="str">
        <v/>
      </c>
      <c r="BB12" s="64" t="str">
        <v>●</v>
      </c>
      <c r="BC12" s="64" t="str">
        <v/>
      </c>
      <c r="BD12" s="64" t="str">
        <v/>
      </c>
      <c r="BE12" s="64" t="str">
        <v/>
      </c>
      <c r="BF12" s="64" t="str">
        <v/>
      </c>
      <c r="BG12" s="64" t="str">
        <v/>
      </c>
      <c r="BH12" s="64" t="str">
        <v/>
      </c>
      <c r="BI12" s="64" t="str">
        <v>●</v>
      </c>
      <c r="BJ12" s="64" t="str">
        <v/>
      </c>
      <c r="BK12" s="64" t="str">
        <v/>
      </c>
      <c r="BL12" s="64" t="str">
        <v/>
      </c>
      <c r="BM12" t="str">
        <v/>
      </c>
      <c r="BN12" t="str">
        <v/>
      </c>
      <c r="BO12" t="str">
        <v/>
      </c>
    </row>
    <row r="13" spans="1:67">
      <c r="A13" s="63" t="str">
        <v>PN絶縁板</v>
      </c>
      <c r="B13" s="64" t="str">
        <v/>
      </c>
      <c r="C13" s="64" t="str">
        <v/>
      </c>
      <c r="D13" s="64" t="str">
        <v>●</v>
      </c>
      <c r="E13" s="64" t="str">
        <v>●</v>
      </c>
      <c r="F13" s="64" t="str">
        <v>●</v>
      </c>
      <c r="G13" s="64" t="str">
        <v/>
      </c>
      <c r="H13" s="64" t="str">
        <v/>
      </c>
      <c r="I13" s="64" t="str">
        <v/>
      </c>
      <c r="J13" s="64" t="str">
        <v>●</v>
      </c>
      <c r="K13" s="64" t="str">
        <v/>
      </c>
      <c r="L13" s="64" t="str">
        <v/>
      </c>
      <c r="M13" s="64" t="str">
        <v/>
      </c>
      <c r="N13" s="64" t="str">
        <v/>
      </c>
      <c r="O13" s="64" t="str">
        <v/>
      </c>
      <c r="P13" s="64" t="str">
        <v/>
      </c>
      <c r="Q13" s="64" t="str">
        <v/>
      </c>
      <c r="R13" s="64" t="str">
        <v/>
      </c>
      <c r="S13" s="64" t="str">
        <v/>
      </c>
      <c r="T13" s="64" t="str">
        <v/>
      </c>
      <c r="U13" s="64" t="str">
        <v/>
      </c>
      <c r="V13" s="64" t="str">
        <v/>
      </c>
      <c r="W13" s="64" t="str">
        <v/>
      </c>
      <c r="X13" s="64" t="str">
        <v/>
      </c>
      <c r="Y13" s="64" t="str">
        <v/>
      </c>
      <c r="Z13" s="64" t="str">
        <v/>
      </c>
      <c r="AA13" s="64" t="str">
        <v/>
      </c>
      <c r="AB13" s="64" t="str">
        <v/>
      </c>
      <c r="AC13" s="64" t="str">
        <v/>
      </c>
      <c r="AD13" s="64" t="str">
        <v>●</v>
      </c>
      <c r="AE13" s="64" t="str">
        <v/>
      </c>
      <c r="AF13" s="64" t="str">
        <v/>
      </c>
      <c r="AG13" s="64" t="str">
        <v/>
      </c>
      <c r="AH13" s="64" t="str">
        <v/>
      </c>
      <c r="AI13" s="64" t="str">
        <v/>
      </c>
      <c r="AJ13" s="64" t="str">
        <v/>
      </c>
      <c r="AK13" s="64" t="str">
        <v/>
      </c>
      <c r="AL13" s="64" t="str">
        <v/>
      </c>
      <c r="AM13" s="64" t="str">
        <v/>
      </c>
      <c r="AN13" s="64" t="str">
        <v/>
      </c>
      <c r="AO13" s="64" t="str">
        <v>●</v>
      </c>
      <c r="AP13" s="64" t="str">
        <v>●</v>
      </c>
      <c r="AQ13" s="64" t="str">
        <v/>
      </c>
      <c r="AR13" s="64" t="str">
        <v/>
      </c>
      <c r="AS13" s="64" t="str">
        <v/>
      </c>
      <c r="AT13" s="64" t="str">
        <v/>
      </c>
      <c r="AU13" s="64" t="str">
        <v/>
      </c>
      <c r="AV13" s="64" t="str">
        <v/>
      </c>
      <c r="AW13" s="64" t="str">
        <v/>
      </c>
      <c r="AX13" s="64" t="str">
        <v/>
      </c>
      <c r="AY13" s="64" t="str">
        <v/>
      </c>
      <c r="AZ13" s="64" t="str">
        <v/>
      </c>
      <c r="BA13" s="64" t="str">
        <v/>
      </c>
      <c r="BB13" s="64" t="str">
        <v>●</v>
      </c>
      <c r="BC13" s="64" t="str">
        <v/>
      </c>
      <c r="BD13" s="64" t="str">
        <v/>
      </c>
      <c r="BE13" s="64" t="str">
        <v/>
      </c>
      <c r="BF13" s="64" t="str">
        <v/>
      </c>
      <c r="BG13" s="64" t="str">
        <v/>
      </c>
      <c r="BH13" s="64" t="str">
        <v/>
      </c>
      <c r="BI13" s="64" t="str">
        <v/>
      </c>
      <c r="BJ13" s="64" t="str">
        <v/>
      </c>
      <c r="BK13" s="64" t="str">
        <v/>
      </c>
      <c r="BL13" s="64" t="str">
        <v/>
      </c>
      <c r="BM13" t="str">
        <v/>
      </c>
      <c r="BN13" t="str">
        <v/>
      </c>
      <c r="BO13" t="str">
        <v/>
      </c>
    </row>
    <row r="14" spans="1:67">
      <c r="A14" s="63" t="str">
        <v>SBM</v>
      </c>
      <c r="B14" s="64" t="str">
        <v/>
      </c>
      <c r="C14" s="64" t="str">
        <v/>
      </c>
      <c r="D14" s="64" t="str">
        <v>●</v>
      </c>
      <c r="E14" s="64" t="str">
        <v>●</v>
      </c>
      <c r="F14" s="64" t="str">
        <v/>
      </c>
      <c r="G14" s="64" t="str">
        <v/>
      </c>
      <c r="H14" s="64" t="str">
        <v/>
      </c>
      <c r="I14" s="64" t="str">
        <v/>
      </c>
      <c r="J14" s="64" t="str">
        <v/>
      </c>
      <c r="K14" s="64" t="str">
        <v/>
      </c>
      <c r="L14" s="64" t="str">
        <v/>
      </c>
      <c r="M14" s="64" t="str">
        <v/>
      </c>
      <c r="N14" s="64" t="str">
        <v/>
      </c>
      <c r="O14" s="64" t="str">
        <v/>
      </c>
      <c r="P14" s="64" t="str">
        <v/>
      </c>
      <c r="Q14" s="64" t="str">
        <v/>
      </c>
      <c r="R14" s="64" t="str">
        <v/>
      </c>
      <c r="S14" s="64" t="str">
        <v/>
      </c>
      <c r="T14" s="64" t="str">
        <v>●</v>
      </c>
      <c r="U14" s="64" t="str">
        <v/>
      </c>
      <c r="V14" s="64" t="str">
        <v>●</v>
      </c>
      <c r="W14" s="64" t="str">
        <v>●</v>
      </c>
      <c r="X14" s="64" t="str">
        <v/>
      </c>
      <c r="Y14" s="64" t="str">
        <v/>
      </c>
      <c r="Z14" s="64" t="str">
        <v/>
      </c>
      <c r="AA14" s="64" t="str">
        <v/>
      </c>
      <c r="AB14" s="64" t="str">
        <v/>
      </c>
      <c r="AC14" s="64" t="str">
        <v/>
      </c>
      <c r="AD14" s="64" t="str">
        <v>●</v>
      </c>
      <c r="AE14" s="64" t="str">
        <v/>
      </c>
      <c r="AF14" s="64" t="str">
        <v/>
      </c>
      <c r="AG14" s="64" t="str">
        <v/>
      </c>
      <c r="AH14" s="64" t="str">
        <v/>
      </c>
      <c r="AI14" s="64" t="str">
        <v/>
      </c>
      <c r="AJ14" s="64" t="str">
        <v/>
      </c>
      <c r="AK14" s="64" t="str">
        <v/>
      </c>
      <c r="AL14" s="64" t="str">
        <v/>
      </c>
      <c r="AM14" s="64" t="str">
        <v/>
      </c>
      <c r="AN14" s="64" t="str">
        <v/>
      </c>
      <c r="AO14" s="64" t="str">
        <v>●</v>
      </c>
      <c r="AP14" s="64" t="str">
        <v>●</v>
      </c>
      <c r="AQ14" s="64" t="str">
        <v/>
      </c>
      <c r="AR14" s="64" t="str">
        <v/>
      </c>
      <c r="AS14" s="64" t="str">
        <v/>
      </c>
      <c r="AT14" s="64" t="str">
        <v/>
      </c>
      <c r="AU14" s="64" t="str">
        <v/>
      </c>
      <c r="AV14" s="64" t="str">
        <v/>
      </c>
      <c r="AW14" s="64" t="str">
        <v>●</v>
      </c>
      <c r="AX14" s="64" t="str">
        <v>●</v>
      </c>
      <c r="AY14" s="64" t="str">
        <v/>
      </c>
      <c r="AZ14" s="64" t="str">
        <v>●</v>
      </c>
      <c r="BA14" s="64" t="str">
        <v/>
      </c>
      <c r="BB14" s="64" t="str">
        <v>●</v>
      </c>
      <c r="BC14" s="64" t="str">
        <v/>
      </c>
      <c r="BD14" s="64" t="str">
        <v/>
      </c>
      <c r="BE14" s="64" t="str">
        <v/>
      </c>
      <c r="BF14" s="64" t="str">
        <v/>
      </c>
      <c r="BG14" s="64" t="str">
        <v/>
      </c>
      <c r="BH14" s="64" t="str">
        <v/>
      </c>
      <c r="BI14" s="64" t="str">
        <v>●</v>
      </c>
      <c r="BJ14" s="64" t="str">
        <v/>
      </c>
      <c r="BK14" s="64" t="str">
        <v/>
      </c>
      <c r="BL14" s="64" t="str">
        <v/>
      </c>
      <c r="BM14" t="str">
        <v/>
      </c>
      <c r="BN14" t="str">
        <v/>
      </c>
      <c r="BO14" t="str">
        <v/>
      </c>
    </row>
    <row r="15" spans="1:67">
      <c r="A15" s="63" t="str">
        <v>W/H</v>
      </c>
      <c r="B15" s="64" t="str">
        <v/>
      </c>
      <c r="C15" s="64" t="str">
        <v/>
      </c>
      <c r="D15" s="64" t="str">
        <v>●</v>
      </c>
      <c r="E15" s="64" t="str">
        <v>●</v>
      </c>
      <c r="F15" s="64" t="str">
        <v/>
      </c>
      <c r="G15" s="64" t="str">
        <v/>
      </c>
      <c r="H15" s="64" t="str">
        <v/>
      </c>
      <c r="I15" s="64" t="str">
        <v/>
      </c>
      <c r="J15" s="64" t="str">
        <v/>
      </c>
      <c r="K15" s="64" t="str">
        <v/>
      </c>
      <c r="L15" s="64" t="str">
        <v/>
      </c>
      <c r="M15" s="64" t="str">
        <v/>
      </c>
      <c r="N15" s="64" t="str">
        <v/>
      </c>
      <c r="O15" s="64" t="str">
        <v/>
      </c>
      <c r="P15" s="64" t="str">
        <v/>
      </c>
      <c r="Q15" s="64" t="str">
        <v/>
      </c>
      <c r="R15" s="64" t="str">
        <v/>
      </c>
      <c r="S15" s="64" t="str">
        <v/>
      </c>
      <c r="T15" s="64" t="str">
        <v/>
      </c>
      <c r="U15" s="64" t="str">
        <v/>
      </c>
      <c r="V15" s="64" t="str">
        <v/>
      </c>
      <c r="W15" s="64" t="str">
        <v/>
      </c>
      <c r="X15" s="64" t="str">
        <v/>
      </c>
      <c r="Y15" s="64" t="str">
        <v/>
      </c>
      <c r="Z15" s="64" t="str">
        <v/>
      </c>
      <c r="AA15" s="64" t="str">
        <v/>
      </c>
      <c r="AB15" s="64" t="str">
        <v/>
      </c>
      <c r="AC15" s="64" t="str">
        <v/>
      </c>
      <c r="AD15" s="64" t="str">
        <v/>
      </c>
      <c r="AE15" s="64" t="str">
        <v/>
      </c>
      <c r="AF15" s="64" t="str">
        <v/>
      </c>
      <c r="AG15" s="64" t="str">
        <v/>
      </c>
      <c r="AH15" s="64" t="str">
        <v/>
      </c>
      <c r="AI15" s="64" t="str">
        <v/>
      </c>
      <c r="AJ15" s="64" t="str">
        <v/>
      </c>
      <c r="AK15" s="64" t="str">
        <v/>
      </c>
      <c r="AL15" s="64" t="str">
        <v/>
      </c>
      <c r="AM15" s="64" t="str">
        <v/>
      </c>
      <c r="AN15" s="64" t="str">
        <v/>
      </c>
      <c r="AO15" s="64" t="str">
        <v/>
      </c>
      <c r="AP15" s="64" t="str">
        <v>●</v>
      </c>
      <c r="AQ15" s="64" t="str">
        <v/>
      </c>
      <c r="AR15" s="64" t="str">
        <v/>
      </c>
      <c r="AS15" s="64" t="str">
        <v/>
      </c>
      <c r="AT15" s="64" t="str">
        <v/>
      </c>
      <c r="AU15" s="64" t="str">
        <v/>
      </c>
      <c r="AV15" s="64" t="str">
        <v/>
      </c>
      <c r="AW15" s="64" t="str">
        <v/>
      </c>
      <c r="AX15" s="64" t="str">
        <v/>
      </c>
      <c r="AY15" s="64" t="str">
        <v/>
      </c>
      <c r="AZ15" s="64" t="str">
        <v/>
      </c>
      <c r="BA15" s="64" t="str">
        <v/>
      </c>
      <c r="BB15" s="64" t="str">
        <v>●</v>
      </c>
      <c r="BC15" s="64" t="str">
        <v/>
      </c>
      <c r="BD15" s="64" t="str">
        <v/>
      </c>
      <c r="BE15" s="64" t="str">
        <v/>
      </c>
      <c r="BF15" s="64" t="str">
        <v/>
      </c>
      <c r="BG15" s="64" t="str">
        <v/>
      </c>
      <c r="BH15" s="64" t="str">
        <v/>
      </c>
      <c r="BI15" s="64" t="str">
        <v/>
      </c>
      <c r="BJ15" s="64" t="str">
        <v/>
      </c>
      <c r="BK15" s="64" t="str">
        <v/>
      </c>
      <c r="BL15" s="64" t="str">
        <v/>
      </c>
      <c r="BM15" t="str">
        <v/>
      </c>
      <c r="BN15" t="str">
        <v/>
      </c>
      <c r="BO15" t="str">
        <v/>
      </c>
    </row>
    <row r="16" spans="1:67">
      <c r="A16" s="63" t="str">
        <v>アッパーケース</v>
      </c>
      <c r="B16" s="64" t="str">
        <v>●</v>
      </c>
      <c r="C16" s="64" t="str">
        <v>●</v>
      </c>
      <c r="D16" s="64" t="str">
        <v>●</v>
      </c>
      <c r="E16" s="64" t="str">
        <v>●</v>
      </c>
      <c r="F16" s="64" t="str">
        <v>●</v>
      </c>
      <c r="G16" s="64" t="str">
        <v/>
      </c>
      <c r="H16" s="64" t="str">
        <v/>
      </c>
      <c r="I16" s="64" t="str">
        <v>●</v>
      </c>
      <c r="J16" s="64" t="str">
        <v>●</v>
      </c>
      <c r="K16" s="64" t="str">
        <v>●</v>
      </c>
      <c r="L16" s="64" t="str">
        <v/>
      </c>
      <c r="M16" s="64" t="str">
        <v/>
      </c>
      <c r="N16" s="64" t="str">
        <v/>
      </c>
      <c r="O16" s="64" t="str">
        <v/>
      </c>
      <c r="P16" s="64" t="str">
        <v/>
      </c>
      <c r="Q16" s="64" t="str">
        <v>●</v>
      </c>
      <c r="R16" s="64" t="str">
        <v>●</v>
      </c>
      <c r="S16" s="64" t="str">
        <v/>
      </c>
      <c r="T16" s="64" t="str">
        <v/>
      </c>
      <c r="U16" s="64" t="str">
        <v/>
      </c>
      <c r="V16" s="64" t="str">
        <v/>
      </c>
      <c r="W16" s="64" t="str">
        <v/>
      </c>
      <c r="X16" s="64" t="str">
        <v>●</v>
      </c>
      <c r="Y16" s="64" t="str">
        <v>●</v>
      </c>
      <c r="Z16" s="64" t="str">
        <v/>
      </c>
      <c r="AA16" s="64" t="str">
        <v/>
      </c>
      <c r="AB16" s="64" t="str">
        <v>●</v>
      </c>
      <c r="AC16" s="64" t="str">
        <v>●</v>
      </c>
      <c r="AD16" s="64" t="str">
        <v/>
      </c>
      <c r="AE16" s="64" t="str">
        <v>●</v>
      </c>
      <c r="AF16" s="64" t="str">
        <v/>
      </c>
      <c r="AG16" s="64" t="str">
        <v>●</v>
      </c>
      <c r="AH16" s="64" t="str">
        <v/>
      </c>
      <c r="AI16" s="64" t="str">
        <v/>
      </c>
      <c r="AJ16" s="64" t="str">
        <v>●</v>
      </c>
      <c r="AK16" s="64" t="str">
        <v/>
      </c>
      <c r="AL16" s="64" t="str">
        <v/>
      </c>
      <c r="AM16" s="64" t="str">
        <v/>
      </c>
      <c r="AN16" s="64" t="str">
        <v/>
      </c>
      <c r="AO16" s="64" t="str">
        <v>●</v>
      </c>
      <c r="AP16" s="64" t="str">
        <v>●</v>
      </c>
      <c r="AQ16" s="64" t="str">
        <v/>
      </c>
      <c r="AR16" s="64" t="str">
        <v/>
      </c>
      <c r="AS16" s="64" t="str">
        <v>●</v>
      </c>
      <c r="AT16" s="64" t="str">
        <v>●</v>
      </c>
      <c r="AU16" s="64" t="str">
        <v/>
      </c>
      <c r="AV16" s="64" t="str">
        <v/>
      </c>
      <c r="AW16" s="64" t="str">
        <v>●</v>
      </c>
      <c r="AX16" s="64" t="str">
        <v>●</v>
      </c>
      <c r="AY16" s="64" t="str">
        <v/>
      </c>
      <c r="AZ16" s="64" t="str">
        <v>●</v>
      </c>
      <c r="BA16" s="64" t="str">
        <v/>
      </c>
      <c r="BB16" s="64" t="str">
        <v>●</v>
      </c>
      <c r="BC16" s="64" t="str">
        <v>●</v>
      </c>
      <c r="BD16" s="64" t="str">
        <v>●</v>
      </c>
      <c r="BE16" s="64" t="str">
        <v/>
      </c>
      <c r="BF16" s="64" t="str">
        <v>●</v>
      </c>
      <c r="BG16" s="64" t="str">
        <v/>
      </c>
      <c r="BH16" s="64" t="str">
        <v>●</v>
      </c>
      <c r="BI16" s="64" t="str">
        <v>●</v>
      </c>
      <c r="BJ16" s="64" t="str">
        <v/>
      </c>
      <c r="BK16" s="64" t="str">
        <v/>
      </c>
      <c r="BL16" s="64" t="str">
        <v>●</v>
      </c>
      <c r="BM16" t="str">
        <v/>
      </c>
      <c r="BN16" t="str">
        <v/>
      </c>
      <c r="BO16" t="str">
        <v/>
      </c>
    </row>
    <row r="17" spans="1:67">
      <c r="A17" s="63" t="str">
        <v>アッパー断熱</v>
      </c>
      <c r="B17" s="64" t="str">
        <v/>
      </c>
      <c r="C17" s="64" t="str">
        <v/>
      </c>
      <c r="D17" s="64" t="str">
        <v>●</v>
      </c>
      <c r="E17" s="64" t="str">
        <v>●</v>
      </c>
      <c r="F17" s="64" t="str">
        <v>●</v>
      </c>
      <c r="G17" s="64" t="str">
        <v/>
      </c>
      <c r="H17" s="64" t="str">
        <v/>
      </c>
      <c r="I17" s="64" t="str">
        <v>●</v>
      </c>
      <c r="J17" s="64" t="str">
        <v>●</v>
      </c>
      <c r="K17" s="64" t="str">
        <v/>
      </c>
      <c r="L17" s="64" t="str">
        <v/>
      </c>
      <c r="M17" s="64" t="str">
        <v/>
      </c>
      <c r="N17" s="64" t="str">
        <v/>
      </c>
      <c r="O17" s="64" t="str">
        <v/>
      </c>
      <c r="P17" s="64" t="str">
        <v/>
      </c>
      <c r="Q17" s="64" t="str">
        <v/>
      </c>
      <c r="R17" s="64" t="str">
        <v>●</v>
      </c>
      <c r="S17" s="64" t="str">
        <v/>
      </c>
      <c r="T17" s="64" t="str">
        <v/>
      </c>
      <c r="U17" s="64" t="str">
        <v/>
      </c>
      <c r="V17" s="64" t="str">
        <v/>
      </c>
      <c r="W17" s="64" t="str">
        <v/>
      </c>
      <c r="X17" s="64" t="str">
        <v/>
      </c>
      <c r="Y17" s="64" t="str">
        <v>●</v>
      </c>
      <c r="Z17" s="64" t="str">
        <v/>
      </c>
      <c r="AA17" s="64" t="str">
        <v/>
      </c>
      <c r="AB17" s="64" t="str">
        <v/>
      </c>
      <c r="AC17" s="64" t="str">
        <v>●</v>
      </c>
      <c r="AD17" s="64" t="str">
        <v>●</v>
      </c>
      <c r="AE17" s="64" t="str">
        <v>●</v>
      </c>
      <c r="AF17" s="64" t="str">
        <v/>
      </c>
      <c r="AG17" s="64" t="str">
        <v/>
      </c>
      <c r="AH17" s="64" t="str">
        <v/>
      </c>
      <c r="AI17" s="64" t="str">
        <v/>
      </c>
      <c r="AJ17" s="64" t="str">
        <v/>
      </c>
      <c r="AK17" s="64" t="str">
        <v/>
      </c>
      <c r="AL17" s="64" t="str">
        <v/>
      </c>
      <c r="AM17" s="64" t="str">
        <v/>
      </c>
      <c r="AN17" s="64" t="str">
        <v/>
      </c>
      <c r="AO17" s="64" t="str">
        <v>●</v>
      </c>
      <c r="AP17" s="64" t="str">
        <v>●</v>
      </c>
      <c r="AQ17" s="64" t="str">
        <v/>
      </c>
      <c r="AR17" s="64" t="str">
        <v/>
      </c>
      <c r="AS17" s="64" t="str">
        <v>●</v>
      </c>
      <c r="AT17" s="64" t="str">
        <v/>
      </c>
      <c r="AU17" s="64" t="str">
        <v>●</v>
      </c>
      <c r="AV17" s="64" t="str">
        <v/>
      </c>
      <c r="AW17" s="64" t="str">
        <v>●</v>
      </c>
      <c r="AX17" s="64" t="str">
        <v>●</v>
      </c>
      <c r="AY17" s="64" t="str">
        <v/>
      </c>
      <c r="AZ17" s="64" t="str">
        <v>●</v>
      </c>
      <c r="BA17" s="64" t="str">
        <v/>
      </c>
      <c r="BB17" s="64" t="str">
        <v>●</v>
      </c>
      <c r="BC17" s="64" t="str">
        <v/>
      </c>
      <c r="BD17" s="64" t="str">
        <v>●</v>
      </c>
      <c r="BE17" s="64" t="str">
        <v>●</v>
      </c>
      <c r="BF17" s="64" t="str">
        <v>●</v>
      </c>
      <c r="BG17" s="64" t="str">
        <v/>
      </c>
      <c r="BH17" s="64" t="str">
        <v/>
      </c>
      <c r="BI17" s="64" t="str">
        <v>●</v>
      </c>
      <c r="BJ17" s="64" t="str">
        <v/>
      </c>
      <c r="BK17" s="64" t="str">
        <v/>
      </c>
      <c r="BL17" s="64" t="str">
        <v>●</v>
      </c>
      <c r="BM17" t="str">
        <v/>
      </c>
      <c r="BN17" t="str">
        <v/>
      </c>
      <c r="BO17" t="str">
        <v/>
      </c>
    </row>
    <row r="18" spans="1:67">
      <c r="A18" s="63" t="str">
        <v>エンドプレート</v>
      </c>
      <c r="B18" s="64" t="str">
        <v/>
      </c>
      <c r="C18" s="64" t="str">
        <v/>
      </c>
      <c r="D18" s="64" t="str">
        <v/>
      </c>
      <c r="E18" s="64" t="str">
        <v/>
      </c>
      <c r="F18" s="64" t="str">
        <v>●</v>
      </c>
      <c r="G18" s="64" t="str">
        <v/>
      </c>
      <c r="H18" s="64" t="str">
        <v/>
      </c>
      <c r="I18" s="64" t="str">
        <v/>
      </c>
      <c r="J18" s="64" t="str">
        <v/>
      </c>
      <c r="K18" s="64" t="str">
        <v/>
      </c>
      <c r="L18" s="64" t="str">
        <v/>
      </c>
      <c r="M18" s="64" t="str">
        <v/>
      </c>
      <c r="N18" s="64" t="str">
        <v/>
      </c>
      <c r="O18" s="64" t="str">
        <v/>
      </c>
      <c r="P18" s="64" t="str">
        <v>●</v>
      </c>
      <c r="Q18" s="64" t="str">
        <v/>
      </c>
      <c r="R18" s="64" t="str">
        <v/>
      </c>
      <c r="S18" s="64" t="str">
        <v/>
      </c>
      <c r="T18" s="64" t="str">
        <v/>
      </c>
      <c r="U18" s="64" t="str">
        <v/>
      </c>
      <c r="V18" s="64" t="str">
        <v/>
      </c>
      <c r="W18" s="64" t="str">
        <v/>
      </c>
      <c r="X18" s="64" t="str">
        <v/>
      </c>
      <c r="Y18" s="64" t="str">
        <v/>
      </c>
      <c r="Z18" s="64" t="str">
        <v/>
      </c>
      <c r="AA18" s="64" t="str">
        <v/>
      </c>
      <c r="AB18" s="64" t="str">
        <v/>
      </c>
      <c r="AC18" s="64" t="str">
        <v/>
      </c>
      <c r="AD18" s="64" t="str">
        <v/>
      </c>
      <c r="AE18" s="64" t="str">
        <v/>
      </c>
      <c r="AF18" s="64" t="str">
        <v/>
      </c>
      <c r="AG18" s="64" t="str">
        <v>●</v>
      </c>
      <c r="AH18" s="64" t="str">
        <v/>
      </c>
      <c r="AI18" s="64" t="str">
        <v/>
      </c>
      <c r="AJ18" s="64" t="str">
        <v/>
      </c>
      <c r="AK18" s="64" t="str">
        <v/>
      </c>
      <c r="AL18" s="64" t="str">
        <v/>
      </c>
      <c r="AM18" s="64" t="str">
        <v/>
      </c>
      <c r="AN18" s="64" t="str">
        <v/>
      </c>
      <c r="AO18" s="64" t="str">
        <v/>
      </c>
      <c r="AP18" s="64" t="str">
        <v>●</v>
      </c>
      <c r="AQ18" s="64" t="str">
        <v/>
      </c>
      <c r="AR18" s="64" t="str">
        <v/>
      </c>
      <c r="AS18" s="64" t="str">
        <v/>
      </c>
      <c r="AT18" s="64" t="str">
        <v/>
      </c>
      <c r="AU18" s="64" t="str">
        <v>●</v>
      </c>
      <c r="AV18" s="64" t="str">
        <v/>
      </c>
      <c r="AW18" s="64" t="str">
        <v/>
      </c>
      <c r="AX18" s="64" t="str">
        <v/>
      </c>
      <c r="AY18" s="64" t="str">
        <v/>
      </c>
      <c r="AZ18" s="64" t="str">
        <v/>
      </c>
      <c r="BA18" s="64" t="str">
        <v/>
      </c>
      <c r="BB18" s="64" t="str">
        <v>●</v>
      </c>
      <c r="BC18" s="64" t="str">
        <v/>
      </c>
      <c r="BD18" s="64" t="str">
        <v/>
      </c>
      <c r="BE18" s="64" t="str">
        <v>●</v>
      </c>
      <c r="BF18" s="64" t="str">
        <v/>
      </c>
      <c r="BG18" s="64" t="str">
        <v/>
      </c>
      <c r="BH18" s="64" t="str">
        <v/>
      </c>
      <c r="BI18" s="64" t="str">
        <v>●</v>
      </c>
      <c r="BJ18" s="64" t="str">
        <v/>
      </c>
      <c r="BK18" s="64" t="str">
        <v/>
      </c>
      <c r="BL18" s="64" t="str">
        <v/>
      </c>
      <c r="BM18" t="str">
        <v/>
      </c>
      <c r="BN18" t="str">
        <v/>
      </c>
      <c r="BO18" t="str">
        <v/>
      </c>
    </row>
    <row r="19" spans="1:67">
      <c r="A19" s="63" t="str">
        <v>コネクタブロック</v>
      </c>
      <c r="B19" s="64" t="str">
        <v>●</v>
      </c>
      <c r="C19" s="64" t="str">
        <v/>
      </c>
      <c r="D19" s="64" t="str">
        <v/>
      </c>
      <c r="E19" s="64" t="str">
        <v/>
      </c>
      <c r="F19" s="64" t="str">
        <v/>
      </c>
      <c r="G19" s="64" t="str">
        <v/>
      </c>
      <c r="H19" s="64" t="str">
        <v/>
      </c>
      <c r="I19" s="64" t="str">
        <v/>
      </c>
      <c r="J19" s="64" t="str">
        <v/>
      </c>
      <c r="K19" s="64" t="str">
        <v/>
      </c>
      <c r="L19" s="64" t="str">
        <v/>
      </c>
      <c r="M19" s="64" t="str">
        <v/>
      </c>
      <c r="N19" s="64" t="str">
        <v/>
      </c>
      <c r="O19" s="64" t="str">
        <v/>
      </c>
      <c r="P19" s="64" t="str">
        <v/>
      </c>
      <c r="Q19" s="64" t="str">
        <v/>
      </c>
      <c r="R19" s="64" t="str">
        <v/>
      </c>
      <c r="S19" s="64" t="str">
        <v/>
      </c>
      <c r="T19" s="64" t="str">
        <v/>
      </c>
      <c r="U19" s="64" t="str">
        <v/>
      </c>
      <c r="V19" s="64" t="str">
        <v/>
      </c>
      <c r="W19" s="64" t="str">
        <v/>
      </c>
      <c r="X19" s="64" t="str">
        <v/>
      </c>
      <c r="Y19" s="64" t="str">
        <v/>
      </c>
      <c r="Z19" s="64" t="str">
        <v/>
      </c>
      <c r="AA19" s="64" t="str">
        <v/>
      </c>
      <c r="AB19" s="64" t="str">
        <v/>
      </c>
      <c r="AC19" s="64" t="str">
        <v/>
      </c>
      <c r="AD19" s="64" t="str">
        <v/>
      </c>
      <c r="AE19" s="64" t="str">
        <v>●</v>
      </c>
      <c r="AF19" s="64" t="str">
        <v/>
      </c>
      <c r="AG19" s="64" t="str">
        <v/>
      </c>
      <c r="AH19" s="64" t="str">
        <v/>
      </c>
      <c r="AI19" s="64" t="str">
        <v/>
      </c>
      <c r="AJ19" s="64" t="str">
        <v/>
      </c>
      <c r="AK19" s="64" t="str">
        <v/>
      </c>
      <c r="AL19" s="64" t="str">
        <v/>
      </c>
      <c r="AM19" s="64" t="str">
        <v/>
      </c>
      <c r="AN19" s="64" t="str">
        <v/>
      </c>
      <c r="AO19" s="64" t="str">
        <v/>
      </c>
      <c r="AP19" s="64" t="str">
        <v>●</v>
      </c>
      <c r="AQ19" s="64" t="str">
        <v/>
      </c>
      <c r="AR19" s="64" t="str">
        <v/>
      </c>
      <c r="AS19" s="64" t="str">
        <v/>
      </c>
      <c r="AT19" s="64" t="str">
        <v/>
      </c>
      <c r="AU19" s="64" t="str">
        <v/>
      </c>
      <c r="AV19" s="64" t="str">
        <v/>
      </c>
      <c r="AW19" s="64" t="str">
        <v/>
      </c>
      <c r="AX19" s="64" t="str">
        <v/>
      </c>
      <c r="AY19" s="64" t="str">
        <v/>
      </c>
      <c r="AZ19" s="64" t="str">
        <v/>
      </c>
      <c r="BA19" s="64" t="str">
        <v/>
      </c>
      <c r="BB19" s="64" t="str">
        <v>●</v>
      </c>
      <c r="BC19" s="64" t="str">
        <v>●</v>
      </c>
      <c r="BD19" s="64" t="str">
        <v/>
      </c>
      <c r="BE19" s="64" t="str">
        <v/>
      </c>
      <c r="BF19" s="64" t="str">
        <v/>
      </c>
      <c r="BG19" s="64" t="str">
        <v/>
      </c>
      <c r="BH19" s="64" t="str">
        <v/>
      </c>
      <c r="BI19" s="64" t="str">
        <v>●</v>
      </c>
      <c r="BJ19" s="64" t="str">
        <v/>
      </c>
      <c r="BK19" s="64" t="str">
        <v/>
      </c>
      <c r="BL19" s="64" t="str">
        <v/>
      </c>
      <c r="BM19" t="str">
        <v/>
      </c>
      <c r="BN19" t="str">
        <v/>
      </c>
      <c r="BO19" t="str">
        <v/>
      </c>
    </row>
    <row r="20" spans="1:67">
      <c r="A20" s="63" t="str">
        <v>コネクタブロックシール材</v>
      </c>
      <c r="B20" s="64" t="str">
        <v>●</v>
      </c>
      <c r="C20" s="64" t="str">
        <v/>
      </c>
      <c r="D20" s="64" t="str">
        <v/>
      </c>
      <c r="E20" s="64" t="str">
        <v/>
      </c>
      <c r="F20" s="64" t="str">
        <v/>
      </c>
      <c r="G20" s="64" t="str">
        <v/>
      </c>
      <c r="H20" s="64" t="str">
        <v/>
      </c>
      <c r="I20" s="64" t="str">
        <v/>
      </c>
      <c r="J20" s="64" t="str">
        <v/>
      </c>
      <c r="K20" s="64" t="str">
        <v>●</v>
      </c>
      <c r="L20" s="64" t="str">
        <v/>
      </c>
      <c r="M20" s="64" t="str">
        <v/>
      </c>
      <c r="N20" s="64" t="str">
        <v/>
      </c>
      <c r="O20" s="64" t="str">
        <v/>
      </c>
      <c r="P20" s="64" t="str">
        <v/>
      </c>
      <c r="Q20" s="64" t="str">
        <v/>
      </c>
      <c r="R20" s="64" t="str">
        <v>●</v>
      </c>
      <c r="S20" s="64" t="str">
        <v/>
      </c>
      <c r="T20" s="64" t="str">
        <v/>
      </c>
      <c r="U20" s="64" t="str">
        <v/>
      </c>
      <c r="V20" s="64" t="str">
        <v/>
      </c>
      <c r="W20" s="64" t="str">
        <v/>
      </c>
      <c r="X20" s="64" t="str">
        <v>●</v>
      </c>
      <c r="Y20" s="64" t="str">
        <v/>
      </c>
      <c r="Z20" s="64" t="str">
        <v>●</v>
      </c>
      <c r="AA20" s="64" t="str">
        <v>●</v>
      </c>
      <c r="AB20" s="64" t="str">
        <v>●</v>
      </c>
      <c r="AC20" s="64" t="str">
        <v/>
      </c>
      <c r="AD20" s="64" t="str">
        <v/>
      </c>
      <c r="AE20" s="64" t="str">
        <v/>
      </c>
      <c r="AF20" s="64" t="str">
        <v/>
      </c>
      <c r="AG20" s="64" t="str">
        <v>●</v>
      </c>
      <c r="AH20" s="64" t="str">
        <v/>
      </c>
      <c r="AI20" s="64" t="str">
        <v/>
      </c>
      <c r="AJ20" s="64" t="str">
        <v/>
      </c>
      <c r="AK20" s="64" t="str">
        <v/>
      </c>
      <c r="AL20" s="64" t="str">
        <v/>
      </c>
      <c r="AM20" s="64" t="str">
        <v/>
      </c>
      <c r="AN20" s="64" t="str">
        <v/>
      </c>
      <c r="AO20" s="64" t="str">
        <v/>
      </c>
      <c r="AP20" s="64" t="str">
        <v/>
      </c>
      <c r="AQ20" s="64" t="str">
        <v/>
      </c>
      <c r="AR20" s="64" t="str">
        <v/>
      </c>
      <c r="AS20" s="64" t="str">
        <v/>
      </c>
      <c r="AT20" s="64" t="str">
        <v/>
      </c>
      <c r="AU20" s="64" t="str">
        <v/>
      </c>
      <c r="AV20" s="64" t="str">
        <v/>
      </c>
      <c r="AW20" s="64" t="str">
        <v/>
      </c>
      <c r="AX20" s="64" t="str">
        <v/>
      </c>
      <c r="AY20" s="64" t="str">
        <v/>
      </c>
      <c r="AZ20" s="64" t="str">
        <v/>
      </c>
      <c r="BA20" s="64" t="str">
        <v/>
      </c>
      <c r="BB20" s="64" t="str">
        <v>●</v>
      </c>
      <c r="BC20" s="64" t="str">
        <v>●</v>
      </c>
      <c r="BD20" s="64" t="str">
        <v/>
      </c>
      <c r="BE20" s="64" t="str">
        <v/>
      </c>
      <c r="BF20" s="64" t="str">
        <v/>
      </c>
      <c r="BG20" s="64" t="str">
        <v/>
      </c>
      <c r="BH20" s="64" t="str">
        <v/>
      </c>
      <c r="BI20" s="64" t="str">
        <v/>
      </c>
      <c r="BJ20" s="64" t="str">
        <v>●</v>
      </c>
      <c r="BK20" s="64" t="str">
        <v/>
      </c>
      <c r="BL20" s="64" t="str">
        <v/>
      </c>
      <c r="BM20" t="str">
        <v/>
      </c>
      <c r="BN20" t="str">
        <v/>
      </c>
      <c r="BO20" t="str">
        <v>●</v>
      </c>
    </row>
    <row r="21" spans="1:67">
      <c r="A21" s="63" t="str">
        <v>スペーサー</v>
      </c>
      <c r="B21" s="64" t="str">
        <v/>
      </c>
      <c r="C21" s="64" t="str">
        <v/>
      </c>
      <c r="D21" s="64" t="str">
        <v/>
      </c>
      <c r="E21" s="64" t="str">
        <v/>
      </c>
      <c r="F21" s="64" t="str">
        <v/>
      </c>
      <c r="G21" s="64" t="str">
        <v/>
      </c>
      <c r="H21" s="64" t="str">
        <v/>
      </c>
      <c r="I21" s="64" t="str">
        <v/>
      </c>
      <c r="J21" s="64" t="str">
        <v/>
      </c>
      <c r="K21" s="64" t="str">
        <v/>
      </c>
      <c r="L21" s="64" t="str">
        <v/>
      </c>
      <c r="M21" s="64" t="str">
        <v/>
      </c>
      <c r="N21" s="64" t="str">
        <v/>
      </c>
      <c r="O21" s="64" t="str">
        <v/>
      </c>
      <c r="P21" s="64" t="str">
        <v/>
      </c>
      <c r="Q21" s="64" t="str">
        <v/>
      </c>
      <c r="R21" s="64" t="str">
        <v/>
      </c>
      <c r="S21" s="64" t="str">
        <v/>
      </c>
      <c r="T21" s="64" t="str">
        <v/>
      </c>
      <c r="U21" s="64" t="str">
        <v/>
      </c>
      <c r="V21" s="64" t="str">
        <v/>
      </c>
      <c r="W21" s="64" t="str">
        <v/>
      </c>
      <c r="X21" s="64" t="str">
        <v/>
      </c>
      <c r="Y21" s="64" t="str">
        <v/>
      </c>
      <c r="Z21" s="64" t="str">
        <v/>
      </c>
      <c r="AA21" s="64" t="str">
        <v/>
      </c>
      <c r="AB21" s="64" t="str">
        <v/>
      </c>
      <c r="AC21" s="64" t="str">
        <v/>
      </c>
      <c r="AD21" s="64" t="str">
        <v/>
      </c>
      <c r="AE21" s="64" t="str">
        <v/>
      </c>
      <c r="AF21" s="64" t="str">
        <v/>
      </c>
      <c r="AG21" s="64" t="str">
        <v/>
      </c>
      <c r="AH21" s="64" t="str">
        <v/>
      </c>
      <c r="AI21" s="64" t="str">
        <v/>
      </c>
      <c r="AJ21" s="64" t="str">
        <v/>
      </c>
      <c r="AK21" s="64" t="str">
        <v/>
      </c>
      <c r="AL21" s="64" t="str">
        <v/>
      </c>
      <c r="AM21" s="64" t="str">
        <v/>
      </c>
      <c r="AN21" s="64" t="str">
        <v/>
      </c>
      <c r="AO21" s="64" t="str">
        <v/>
      </c>
      <c r="AP21" s="64" t="str">
        <v>●</v>
      </c>
      <c r="AQ21" s="64" t="str">
        <v/>
      </c>
      <c r="AR21" s="64" t="str">
        <v/>
      </c>
      <c r="AS21" s="64" t="str">
        <v/>
      </c>
      <c r="AT21" s="64" t="str">
        <v/>
      </c>
      <c r="AU21" s="64" t="str">
        <v/>
      </c>
      <c r="AV21" s="64" t="str">
        <v/>
      </c>
      <c r="AW21" s="64" t="str">
        <v>●</v>
      </c>
      <c r="AX21" s="64" t="str">
        <v/>
      </c>
      <c r="AY21" s="64" t="str">
        <v/>
      </c>
      <c r="AZ21" s="64" t="str">
        <v>●</v>
      </c>
      <c r="BA21" s="64" t="str">
        <v/>
      </c>
      <c r="BB21" s="64" t="str">
        <v>●</v>
      </c>
      <c r="BC21" s="64" t="str">
        <v/>
      </c>
      <c r="BD21" s="64" t="str">
        <v/>
      </c>
      <c r="BE21" s="64" t="str">
        <v/>
      </c>
      <c r="BF21" s="64" t="str">
        <v/>
      </c>
      <c r="BG21" s="64" t="str">
        <v/>
      </c>
      <c r="BH21" s="64" t="str">
        <v/>
      </c>
      <c r="BI21" s="64" t="str">
        <v/>
      </c>
      <c r="BJ21" s="64" t="str">
        <v/>
      </c>
      <c r="BK21" s="64" t="str">
        <v/>
      </c>
      <c r="BL21" s="64" t="str">
        <v/>
      </c>
      <c r="BM21" t="str">
        <v/>
      </c>
      <c r="BN21" t="str">
        <v/>
      </c>
      <c r="BO21" t="str">
        <v/>
      </c>
    </row>
    <row r="22" spans="1:67">
      <c r="A22" s="63" t="str">
        <v>セル</v>
      </c>
      <c r="B22" s="64" t="str">
        <v>●</v>
      </c>
      <c r="C22" s="64" t="str">
        <v>●</v>
      </c>
      <c r="D22" s="64" t="str">
        <v>●</v>
      </c>
      <c r="E22" s="64" t="str">
        <v>●</v>
      </c>
      <c r="F22" s="64" t="str">
        <v/>
      </c>
      <c r="G22" s="64" t="str">
        <v/>
      </c>
      <c r="H22" s="64" t="str">
        <v>●</v>
      </c>
      <c r="I22" s="64" t="str">
        <v/>
      </c>
      <c r="J22" s="64" t="str">
        <v>●</v>
      </c>
      <c r="K22" s="64" t="str">
        <v/>
      </c>
      <c r="L22" s="64" t="str">
        <v>●</v>
      </c>
      <c r="M22" s="64" t="str">
        <v/>
      </c>
      <c r="N22" s="64" t="str">
        <v>●</v>
      </c>
      <c r="O22" s="64" t="str">
        <v>●</v>
      </c>
      <c r="P22" s="64" t="str">
        <v>●</v>
      </c>
      <c r="Q22" s="64" t="str">
        <v/>
      </c>
      <c r="R22" s="64" t="str">
        <v>●</v>
      </c>
      <c r="S22" s="64" t="str">
        <v>●</v>
      </c>
      <c r="T22" s="64" t="str">
        <v>●</v>
      </c>
      <c r="U22" s="64" t="str">
        <v/>
      </c>
      <c r="V22" s="64" t="str">
        <v>●</v>
      </c>
      <c r="W22" s="64" t="str">
        <v>●</v>
      </c>
      <c r="X22" s="64" t="str">
        <v>●</v>
      </c>
      <c r="Y22" s="64" t="str">
        <v/>
      </c>
      <c r="Z22" s="64" t="str">
        <v/>
      </c>
      <c r="AA22" s="64" t="str">
        <v/>
      </c>
      <c r="AB22" s="64" t="str">
        <v/>
      </c>
      <c r="AC22" s="64" t="str">
        <v/>
      </c>
      <c r="AD22" s="64" t="str">
        <v/>
      </c>
      <c r="AE22" s="64" t="str">
        <v>●</v>
      </c>
      <c r="AF22" s="64" t="str">
        <v/>
      </c>
      <c r="AG22" s="64" t="str">
        <v/>
      </c>
      <c r="AH22" s="64" t="str">
        <v/>
      </c>
      <c r="AI22" s="64" t="str">
        <v>●</v>
      </c>
      <c r="AJ22" s="64" t="str">
        <v>●</v>
      </c>
      <c r="AK22" s="64" t="str">
        <v/>
      </c>
      <c r="AL22" s="64" t="str">
        <v/>
      </c>
      <c r="AM22" s="64" t="str">
        <v>●</v>
      </c>
      <c r="AN22" s="64" t="str">
        <v/>
      </c>
      <c r="AO22" s="64" t="str">
        <v>●</v>
      </c>
      <c r="AP22" s="64" t="str">
        <v>●</v>
      </c>
      <c r="AQ22" s="64" t="str">
        <v/>
      </c>
      <c r="AR22" s="64" t="str">
        <v>●</v>
      </c>
      <c r="AS22" s="64" t="str">
        <v/>
      </c>
      <c r="AT22" s="64" t="str">
        <v>●</v>
      </c>
      <c r="AU22" s="64" t="str">
        <v/>
      </c>
      <c r="AV22" s="64" t="str">
        <v/>
      </c>
      <c r="AW22" s="64" t="str">
        <v>●</v>
      </c>
      <c r="AX22" s="64" t="str">
        <v>●</v>
      </c>
      <c r="AY22" s="64" t="str">
        <v/>
      </c>
      <c r="AZ22" s="64" t="str">
        <v>●</v>
      </c>
      <c r="BA22" s="64" t="str">
        <v>●</v>
      </c>
      <c r="BB22" s="64" t="str">
        <v>●</v>
      </c>
      <c r="BC22" s="64" t="str">
        <v/>
      </c>
      <c r="BD22" s="64" t="str">
        <v/>
      </c>
      <c r="BE22" s="64" t="str">
        <v/>
      </c>
      <c r="BF22" s="64" t="str">
        <v/>
      </c>
      <c r="BG22" s="64" t="str">
        <v>●</v>
      </c>
      <c r="BH22" s="64" t="str">
        <v/>
      </c>
      <c r="BI22" s="64" t="str">
        <v>●</v>
      </c>
      <c r="BJ22" s="64" t="str">
        <v/>
      </c>
      <c r="BK22" s="64" t="str">
        <v/>
      </c>
      <c r="BL22" s="64" t="str">
        <v/>
      </c>
      <c r="BM22" t="str">
        <v/>
      </c>
      <c r="BN22" t="str">
        <v/>
      </c>
      <c r="BO22" t="str">
        <v/>
      </c>
    </row>
    <row r="23" spans="1:67">
      <c r="A23" s="63" t="str">
        <v>セルフィルム</v>
      </c>
      <c r="B23" s="64" t="str">
        <v/>
      </c>
      <c r="C23" s="64" t="str">
        <v/>
      </c>
      <c r="D23" s="64" t="str">
        <v/>
      </c>
      <c r="E23" s="64" t="str">
        <v/>
      </c>
      <c r="F23" s="64" t="str">
        <v/>
      </c>
      <c r="G23" s="64" t="str">
        <v/>
      </c>
      <c r="H23" s="64" t="str">
        <v>●</v>
      </c>
      <c r="I23" s="64" t="str">
        <v/>
      </c>
      <c r="J23" s="64" t="str">
        <v/>
      </c>
      <c r="K23" s="64" t="str">
        <v/>
      </c>
      <c r="L23" s="64" t="str">
        <v/>
      </c>
      <c r="M23" s="64" t="str">
        <v/>
      </c>
      <c r="N23" s="64" t="str">
        <v/>
      </c>
      <c r="O23" s="64" t="str">
        <v/>
      </c>
      <c r="P23" s="64" t="str">
        <v/>
      </c>
      <c r="Q23" s="64" t="str">
        <v/>
      </c>
      <c r="R23" s="64" t="str">
        <v/>
      </c>
      <c r="S23" s="64" t="str">
        <v/>
      </c>
      <c r="T23" s="64" t="str">
        <v/>
      </c>
      <c r="U23" s="64" t="str">
        <v/>
      </c>
      <c r="V23" s="64" t="str">
        <v/>
      </c>
      <c r="W23" s="64" t="str">
        <v/>
      </c>
      <c r="X23" s="64" t="str">
        <v/>
      </c>
      <c r="Y23" s="64" t="str">
        <v/>
      </c>
      <c r="Z23" s="64" t="str">
        <v/>
      </c>
      <c r="AA23" s="64" t="str">
        <v/>
      </c>
      <c r="AB23" s="64" t="str">
        <v/>
      </c>
      <c r="AC23" s="64" t="str">
        <v/>
      </c>
      <c r="AD23" s="64" t="str">
        <v/>
      </c>
      <c r="AE23" s="64" t="str">
        <v/>
      </c>
      <c r="AF23" s="64" t="str">
        <v/>
      </c>
      <c r="AG23" s="64" t="str">
        <v/>
      </c>
      <c r="AH23" s="64" t="str">
        <v/>
      </c>
      <c r="AI23" s="64" t="str">
        <v/>
      </c>
      <c r="AJ23" s="64" t="str">
        <v/>
      </c>
      <c r="AK23" s="64" t="str">
        <v/>
      </c>
      <c r="AL23" s="64" t="str">
        <v/>
      </c>
      <c r="AM23" s="64" t="str">
        <v/>
      </c>
      <c r="AN23" s="64" t="str">
        <v/>
      </c>
      <c r="AO23" s="64" t="str">
        <v/>
      </c>
      <c r="AP23" s="64" t="str">
        <v/>
      </c>
      <c r="AQ23" s="64" t="str">
        <v/>
      </c>
      <c r="AR23" s="64" t="str">
        <v/>
      </c>
      <c r="AS23" s="64" t="str">
        <v/>
      </c>
      <c r="AT23" s="64" t="str">
        <v/>
      </c>
      <c r="AU23" s="64" t="str">
        <v/>
      </c>
      <c r="AV23" s="64" t="str">
        <v/>
      </c>
      <c r="AW23" s="64" t="str">
        <v>●</v>
      </c>
      <c r="AX23" s="64" t="str">
        <v/>
      </c>
      <c r="AY23" s="64" t="str">
        <v/>
      </c>
      <c r="AZ23" s="64" t="str">
        <v>●</v>
      </c>
      <c r="BA23" s="64" t="str">
        <v/>
      </c>
      <c r="BB23" s="64" t="str">
        <v/>
      </c>
      <c r="BC23" s="64" t="str">
        <v/>
      </c>
      <c r="BD23" s="64" t="str">
        <v/>
      </c>
      <c r="BE23" s="64" t="str">
        <v/>
      </c>
      <c r="BF23" s="64" t="str">
        <v/>
      </c>
      <c r="BG23" s="64" t="str">
        <v/>
      </c>
      <c r="BH23" s="64" t="str">
        <v/>
      </c>
      <c r="BI23" s="64" t="str">
        <v/>
      </c>
      <c r="BJ23" s="64" t="str">
        <v/>
      </c>
      <c r="BK23" s="64" t="str">
        <v/>
      </c>
      <c r="BL23" s="64" t="str">
        <v/>
      </c>
      <c r="BM23" t="str">
        <v/>
      </c>
      <c r="BN23" t="str">
        <v/>
      </c>
      <c r="BO23" t="str">
        <v/>
      </c>
    </row>
    <row r="24" spans="1:67">
      <c r="A24" s="63" t="str">
        <v>セル間断熱材</v>
      </c>
      <c r="B24" s="64" t="str">
        <v/>
      </c>
      <c r="C24" s="64" t="str">
        <v/>
      </c>
      <c r="D24" s="64" t="str">
        <v/>
      </c>
      <c r="E24" s="64" t="str">
        <v/>
      </c>
      <c r="F24" s="64" t="str">
        <v>●</v>
      </c>
      <c r="G24" s="64" t="str">
        <v/>
      </c>
      <c r="H24" s="64" t="str">
        <v/>
      </c>
      <c r="I24" s="64" t="str">
        <v/>
      </c>
      <c r="J24" s="64" t="str">
        <v/>
      </c>
      <c r="K24" s="64" t="str">
        <v/>
      </c>
      <c r="L24" s="64" t="str">
        <v/>
      </c>
      <c r="M24" s="64" t="str">
        <v/>
      </c>
      <c r="N24" s="64" t="str">
        <v/>
      </c>
      <c r="O24" s="64" t="str">
        <v>●</v>
      </c>
      <c r="P24" s="64" t="str">
        <v>●</v>
      </c>
      <c r="Q24" s="64" t="str">
        <v/>
      </c>
      <c r="R24" s="64" t="str">
        <v/>
      </c>
      <c r="S24" s="64" t="str">
        <v/>
      </c>
      <c r="T24" s="64" t="str">
        <v/>
      </c>
      <c r="U24" s="64" t="str">
        <v/>
      </c>
      <c r="V24" s="64" t="str">
        <v/>
      </c>
      <c r="W24" s="64" t="str">
        <v/>
      </c>
      <c r="X24" s="64" t="str">
        <v/>
      </c>
      <c r="Y24" s="64" t="str">
        <v/>
      </c>
      <c r="Z24" s="64" t="str">
        <v/>
      </c>
      <c r="AA24" s="64" t="str">
        <v/>
      </c>
      <c r="AB24" s="64" t="str">
        <v/>
      </c>
      <c r="AC24" s="64" t="str">
        <v/>
      </c>
      <c r="AD24" s="64" t="str">
        <v/>
      </c>
      <c r="AE24" s="64" t="str">
        <v/>
      </c>
      <c r="AF24" s="64" t="str">
        <v/>
      </c>
      <c r="AG24" s="64" t="str">
        <v/>
      </c>
      <c r="AH24" s="64" t="str">
        <v/>
      </c>
      <c r="AI24" s="64" t="str">
        <v/>
      </c>
      <c r="AJ24" s="64" t="str">
        <v/>
      </c>
      <c r="AK24" s="64" t="str">
        <v/>
      </c>
      <c r="AL24" s="64" t="str">
        <v/>
      </c>
      <c r="AM24" s="64" t="str">
        <v/>
      </c>
      <c r="AN24" s="64" t="str">
        <v>●</v>
      </c>
      <c r="AO24" s="64" t="str">
        <v/>
      </c>
      <c r="AP24" s="64" t="str">
        <v>●</v>
      </c>
      <c r="AQ24" s="64" t="str">
        <v/>
      </c>
      <c r="AR24" s="64" t="str">
        <v/>
      </c>
      <c r="AS24" s="64" t="str">
        <v/>
      </c>
      <c r="AT24" s="64" t="str">
        <v/>
      </c>
      <c r="AU24" s="64" t="str">
        <v>●</v>
      </c>
      <c r="AV24" s="64" t="str">
        <v>●</v>
      </c>
      <c r="AW24" s="64" t="str">
        <v/>
      </c>
      <c r="AX24" s="64" t="str">
        <v/>
      </c>
      <c r="AY24" s="64" t="str">
        <v/>
      </c>
      <c r="AZ24" s="64" t="str">
        <v/>
      </c>
      <c r="BA24" s="64" t="str">
        <v/>
      </c>
      <c r="BB24" s="64" t="str">
        <v>●</v>
      </c>
      <c r="BC24" s="64" t="str">
        <v/>
      </c>
      <c r="BD24" s="64" t="str">
        <v/>
      </c>
      <c r="BE24" s="64" t="str">
        <v>●</v>
      </c>
      <c r="BF24" s="64" t="str">
        <v/>
      </c>
      <c r="BG24" s="64" t="str">
        <v/>
      </c>
      <c r="BH24" s="64" t="str">
        <v/>
      </c>
      <c r="BI24" s="64" t="str">
        <v>●</v>
      </c>
      <c r="BJ24" s="64" t="str">
        <v/>
      </c>
      <c r="BK24" s="64" t="str">
        <v/>
      </c>
      <c r="BL24" s="64" t="str">
        <v>●</v>
      </c>
      <c r="BM24" t="str">
        <v/>
      </c>
      <c r="BN24" t="str">
        <v/>
      </c>
      <c r="BO24" t="str">
        <v/>
      </c>
    </row>
    <row r="25" spans="1:67">
      <c r="A25" s="63" t="str">
        <v>パックシール材</v>
      </c>
      <c r="B25" s="64" t="str">
        <v>●</v>
      </c>
      <c r="C25" s="64" t="str">
        <v>●</v>
      </c>
      <c r="D25" s="64" t="str">
        <v/>
      </c>
      <c r="E25" s="64" t="str">
        <v/>
      </c>
      <c r="F25" s="64" t="str">
        <v>●</v>
      </c>
      <c r="G25" s="64" t="str">
        <v/>
      </c>
      <c r="H25" s="64" t="str">
        <v/>
      </c>
      <c r="I25" s="64" t="str">
        <v/>
      </c>
      <c r="J25" s="64" t="str">
        <v>●</v>
      </c>
      <c r="K25" s="64" t="str">
        <v>●</v>
      </c>
      <c r="L25" s="64" t="str">
        <v/>
      </c>
      <c r="M25" s="64" t="str">
        <v/>
      </c>
      <c r="N25" s="64" t="str">
        <v/>
      </c>
      <c r="O25" s="64" t="str">
        <v/>
      </c>
      <c r="P25" s="64" t="str">
        <v/>
      </c>
      <c r="Q25" s="64" t="str">
        <v/>
      </c>
      <c r="R25" s="64" t="str">
        <v>●</v>
      </c>
      <c r="S25" s="64" t="str">
        <v/>
      </c>
      <c r="T25" s="64" t="str">
        <v/>
      </c>
      <c r="U25" s="64" t="str">
        <v/>
      </c>
      <c r="V25" s="64" t="str">
        <v/>
      </c>
      <c r="W25" s="64" t="str">
        <v/>
      </c>
      <c r="X25" s="64" t="str">
        <v>●</v>
      </c>
      <c r="Y25" s="64" t="str">
        <v/>
      </c>
      <c r="Z25" s="64" t="str">
        <v>●</v>
      </c>
      <c r="AA25" s="64" t="str">
        <v>●</v>
      </c>
      <c r="AB25" s="64" t="str">
        <v>●</v>
      </c>
      <c r="AC25" s="64" t="str">
        <v/>
      </c>
      <c r="AD25" s="64" t="str">
        <v/>
      </c>
      <c r="AE25" s="64" t="str">
        <v/>
      </c>
      <c r="AF25" s="64" t="str">
        <v/>
      </c>
      <c r="AG25" s="64" t="str">
        <v>●</v>
      </c>
      <c r="AH25" s="64" t="str">
        <v/>
      </c>
      <c r="AI25" s="64" t="str">
        <v/>
      </c>
      <c r="AJ25" s="64" t="str">
        <v/>
      </c>
      <c r="AK25" s="64" t="str">
        <v/>
      </c>
      <c r="AL25" s="64" t="str">
        <v/>
      </c>
      <c r="AM25" s="64" t="str">
        <v/>
      </c>
      <c r="AN25" s="64" t="str">
        <v/>
      </c>
      <c r="AO25" s="64" t="str">
        <v/>
      </c>
      <c r="AP25" s="64" t="str">
        <v/>
      </c>
      <c r="AQ25" s="64" t="str">
        <v/>
      </c>
      <c r="AR25" s="64" t="str">
        <v/>
      </c>
      <c r="AS25" s="64" t="str">
        <v/>
      </c>
      <c r="AT25" s="64" t="str">
        <v/>
      </c>
      <c r="AU25" s="64" t="str">
        <v/>
      </c>
      <c r="AV25" s="64" t="str">
        <v/>
      </c>
      <c r="AW25" s="64" t="str">
        <v/>
      </c>
      <c r="AX25" s="64" t="str">
        <v/>
      </c>
      <c r="AY25" s="64" t="str">
        <v/>
      </c>
      <c r="AZ25" s="64" t="str">
        <v/>
      </c>
      <c r="BA25" s="64" t="str">
        <v/>
      </c>
      <c r="BB25" s="64" t="str">
        <v/>
      </c>
      <c r="BC25" s="64" t="str">
        <v>●</v>
      </c>
      <c r="BD25" s="64" t="str">
        <v/>
      </c>
      <c r="BE25" s="64" t="str">
        <v/>
      </c>
      <c r="BF25" s="64" t="str">
        <v/>
      </c>
      <c r="BG25" s="64" t="str">
        <v/>
      </c>
      <c r="BH25" s="64" t="str">
        <v/>
      </c>
      <c r="BI25" s="64" t="str">
        <v/>
      </c>
      <c r="BJ25" s="64" t="str">
        <v>●</v>
      </c>
      <c r="BK25" s="64" t="str">
        <v/>
      </c>
      <c r="BL25" s="64" t="str">
        <v/>
      </c>
      <c r="BM25" t="str">
        <v/>
      </c>
      <c r="BN25" t="str">
        <v/>
      </c>
      <c r="BO25" t="str">
        <v>●</v>
      </c>
    </row>
    <row r="26" spans="1:67">
      <c r="A26" s="63" t="str">
        <v>フェライトコア</v>
      </c>
      <c r="B26" s="64" t="str">
        <v/>
      </c>
      <c r="C26" s="64" t="str">
        <v/>
      </c>
      <c r="D26" s="64" t="str">
        <v/>
      </c>
      <c r="E26" s="64" t="str">
        <v/>
      </c>
      <c r="F26" s="64" t="str">
        <v/>
      </c>
      <c r="G26" s="64" t="str">
        <v/>
      </c>
      <c r="H26" s="64" t="str">
        <v/>
      </c>
      <c r="I26" s="64" t="str">
        <v/>
      </c>
      <c r="J26" s="64" t="str">
        <v/>
      </c>
      <c r="K26" s="64" t="str">
        <v/>
      </c>
      <c r="L26" s="64" t="str">
        <v/>
      </c>
      <c r="M26" s="64" t="str">
        <v/>
      </c>
      <c r="N26" s="64" t="str">
        <v/>
      </c>
      <c r="O26" s="64" t="str">
        <v/>
      </c>
      <c r="P26" s="64" t="str">
        <v/>
      </c>
      <c r="Q26" s="64" t="str">
        <v/>
      </c>
      <c r="R26" s="64" t="str">
        <v/>
      </c>
      <c r="S26" s="64" t="str">
        <v/>
      </c>
      <c r="T26" s="64" t="str">
        <v/>
      </c>
      <c r="U26" s="64" t="str">
        <v/>
      </c>
      <c r="V26" s="64" t="str">
        <v/>
      </c>
      <c r="W26" s="64" t="str">
        <v/>
      </c>
      <c r="X26" s="64" t="str">
        <v/>
      </c>
      <c r="Y26" s="64" t="str">
        <v/>
      </c>
      <c r="Z26" s="64" t="str">
        <v/>
      </c>
      <c r="AA26" s="64" t="str">
        <v/>
      </c>
      <c r="AB26" s="64" t="str">
        <v/>
      </c>
      <c r="AC26" s="64" t="str">
        <v/>
      </c>
      <c r="AD26" s="64" t="str">
        <v/>
      </c>
      <c r="AE26" s="64" t="str">
        <v/>
      </c>
      <c r="AF26" s="64" t="str">
        <v/>
      </c>
      <c r="AG26" s="64" t="str">
        <v/>
      </c>
      <c r="AH26" s="64" t="str">
        <v/>
      </c>
      <c r="AI26" s="64" t="str">
        <v/>
      </c>
      <c r="AJ26" s="64" t="str">
        <v/>
      </c>
      <c r="AK26" s="64" t="str">
        <v/>
      </c>
      <c r="AL26" s="64" t="str">
        <v/>
      </c>
      <c r="AM26" s="64" t="str">
        <v/>
      </c>
      <c r="AN26" s="64" t="str">
        <v/>
      </c>
      <c r="AO26" s="64" t="str">
        <v/>
      </c>
      <c r="AP26" s="64" t="str">
        <v>●</v>
      </c>
      <c r="AQ26" s="64" t="str">
        <v/>
      </c>
      <c r="AR26" s="64" t="str">
        <v/>
      </c>
      <c r="AS26" s="64" t="str">
        <v/>
      </c>
      <c r="AT26" s="64" t="str">
        <v/>
      </c>
      <c r="AU26" s="64" t="str">
        <v/>
      </c>
      <c r="AV26" s="64" t="str">
        <v/>
      </c>
      <c r="AW26" s="64" t="str">
        <v/>
      </c>
      <c r="AX26" s="64" t="str">
        <v/>
      </c>
      <c r="AY26" s="64" t="str">
        <v/>
      </c>
      <c r="AZ26" s="64" t="str">
        <v/>
      </c>
      <c r="BA26" s="64" t="str">
        <v/>
      </c>
      <c r="BB26" s="64" t="str">
        <v>●</v>
      </c>
      <c r="BC26" s="64" t="str">
        <v/>
      </c>
      <c r="BD26" s="64" t="str">
        <v/>
      </c>
      <c r="BE26" s="64" t="str">
        <v/>
      </c>
      <c r="BF26" s="64" t="str">
        <v/>
      </c>
      <c r="BG26" s="64" t="str">
        <v/>
      </c>
      <c r="BH26" s="64" t="str">
        <v/>
      </c>
      <c r="BI26" s="64" t="str">
        <v>●</v>
      </c>
      <c r="BJ26" s="64" t="str">
        <v/>
      </c>
      <c r="BK26" s="64" t="str">
        <v/>
      </c>
      <c r="BL26" s="64" t="str">
        <v/>
      </c>
      <c r="BM26" t="str">
        <v/>
      </c>
      <c r="BN26" t="str">
        <v/>
      </c>
      <c r="BO26" t="str">
        <v/>
      </c>
    </row>
    <row r="27" spans="1:67">
      <c r="A27" s="63" t="str">
        <v>ロアケース</v>
      </c>
      <c r="B27" s="64" t="str">
        <v>●</v>
      </c>
      <c r="C27" s="64" t="str">
        <v>●</v>
      </c>
      <c r="D27" s="64" t="str">
        <v>●</v>
      </c>
      <c r="E27" s="64" t="str">
        <v>●</v>
      </c>
      <c r="F27" s="64" t="str">
        <v>●</v>
      </c>
      <c r="G27" s="64" t="str">
        <v/>
      </c>
      <c r="H27" s="64" t="str">
        <v>●</v>
      </c>
      <c r="I27" s="64" t="str">
        <v/>
      </c>
      <c r="J27" s="64" t="str">
        <v/>
      </c>
      <c r="K27" s="64" t="str">
        <v>●</v>
      </c>
      <c r="L27" s="64" t="str">
        <v/>
      </c>
      <c r="M27" s="64" t="str">
        <v/>
      </c>
      <c r="N27" s="64" t="str">
        <v/>
      </c>
      <c r="O27" s="64" t="str">
        <v/>
      </c>
      <c r="P27" s="64" t="str">
        <v>●</v>
      </c>
      <c r="Q27" s="64" t="str">
        <v/>
      </c>
      <c r="R27" s="64" t="str">
        <v>●</v>
      </c>
      <c r="S27" s="64" t="str">
        <v/>
      </c>
      <c r="T27" s="64" t="str">
        <v/>
      </c>
      <c r="U27" s="64" t="str">
        <v/>
      </c>
      <c r="V27" s="64" t="str">
        <v/>
      </c>
      <c r="W27" s="64" t="str">
        <v/>
      </c>
      <c r="X27" s="64" t="str">
        <v>●</v>
      </c>
      <c r="Y27" s="64" t="str">
        <v/>
      </c>
      <c r="Z27" s="64" t="str">
        <v/>
      </c>
      <c r="AA27" s="64" t="str">
        <v/>
      </c>
      <c r="AB27" s="64" t="str">
        <v>●</v>
      </c>
      <c r="AC27" s="64" t="str">
        <v>●</v>
      </c>
      <c r="AD27" s="64" t="str">
        <v/>
      </c>
      <c r="AE27" s="64" t="str">
        <v>●</v>
      </c>
      <c r="AF27" s="64" t="str">
        <v/>
      </c>
      <c r="AG27" s="64" t="str">
        <v>●</v>
      </c>
      <c r="AH27" s="64" t="str">
        <v/>
      </c>
      <c r="AI27" s="64" t="str">
        <v/>
      </c>
      <c r="AJ27" s="64" t="str">
        <v/>
      </c>
      <c r="AK27" s="64" t="str">
        <v/>
      </c>
      <c r="AL27" s="64" t="str">
        <v/>
      </c>
      <c r="AM27" s="64" t="str">
        <v/>
      </c>
      <c r="AN27" s="64" t="str">
        <v/>
      </c>
      <c r="AO27" s="64" t="str">
        <v>●</v>
      </c>
      <c r="AP27" s="64" t="str">
        <v>●</v>
      </c>
      <c r="AQ27" s="64" t="str">
        <v/>
      </c>
      <c r="AR27" s="64" t="str">
        <v/>
      </c>
      <c r="AS27" s="64" t="str">
        <v>●</v>
      </c>
      <c r="AT27" s="64" t="str">
        <v/>
      </c>
      <c r="AU27" s="64" t="str">
        <v>●</v>
      </c>
      <c r="AV27" s="64" t="str">
        <v/>
      </c>
      <c r="AW27" s="64" t="str">
        <v>●</v>
      </c>
      <c r="AX27" s="64" t="str">
        <v>●</v>
      </c>
      <c r="AY27" s="64" t="str">
        <v/>
      </c>
      <c r="AZ27" s="64" t="str">
        <v>●</v>
      </c>
      <c r="BA27" s="64" t="str">
        <v/>
      </c>
      <c r="BB27" s="64" t="str">
        <v>●</v>
      </c>
      <c r="BC27" s="64" t="str">
        <v>●</v>
      </c>
      <c r="BD27" s="64" t="str">
        <v>●</v>
      </c>
      <c r="BE27" s="64" t="str">
        <v>●</v>
      </c>
      <c r="BF27" s="64" t="str">
        <v/>
      </c>
      <c r="BG27" s="64" t="str">
        <v/>
      </c>
      <c r="BH27" s="64" t="str">
        <v/>
      </c>
      <c r="BI27" s="64" t="str">
        <v/>
      </c>
      <c r="BJ27" s="64" t="str">
        <v/>
      </c>
      <c r="BK27" s="64" t="str">
        <v/>
      </c>
      <c r="BL27" s="64" t="str">
        <v/>
      </c>
      <c r="BM27" t="str">
        <v/>
      </c>
      <c r="BN27" t="str">
        <v/>
      </c>
      <c r="BO27" t="str">
        <v/>
      </c>
    </row>
    <row r="28" spans="1:67">
      <c r="A28" s="63" t="str">
        <v>呼吸膜</v>
      </c>
      <c r="B28" s="64" t="str">
        <v>●</v>
      </c>
      <c r="C28" s="64" t="str">
        <v>●</v>
      </c>
      <c r="D28" s="64" t="str">
        <v/>
      </c>
      <c r="E28" s="64" t="str">
        <v/>
      </c>
      <c r="F28" s="64" t="str">
        <v>●</v>
      </c>
      <c r="G28" s="64" t="str">
        <v/>
      </c>
      <c r="H28" s="64" t="str">
        <v/>
      </c>
      <c r="I28" s="64" t="str">
        <v/>
      </c>
      <c r="J28" s="64" t="str">
        <v>●</v>
      </c>
      <c r="K28" s="64" t="str">
        <v>●</v>
      </c>
      <c r="L28" s="64" t="str">
        <v>●</v>
      </c>
      <c r="M28" s="64" t="str">
        <v>●</v>
      </c>
      <c r="N28" s="64" t="str">
        <v/>
      </c>
      <c r="O28" s="64" t="str">
        <v/>
      </c>
      <c r="P28" s="64" t="str">
        <v/>
      </c>
      <c r="Q28" s="64" t="str">
        <v/>
      </c>
      <c r="R28" s="64" t="str">
        <v/>
      </c>
      <c r="S28" s="64" t="str">
        <v/>
      </c>
      <c r="T28" s="64" t="str">
        <v>●</v>
      </c>
      <c r="U28" s="64" t="str">
        <v>●</v>
      </c>
      <c r="V28" s="64" t="str">
        <v/>
      </c>
      <c r="W28" s="64" t="str">
        <v/>
      </c>
      <c r="X28" s="64" t="str">
        <v/>
      </c>
      <c r="Y28" s="64" t="str">
        <v/>
      </c>
      <c r="Z28" s="64" t="str">
        <v>●</v>
      </c>
      <c r="AA28" s="64" t="str">
        <v>●</v>
      </c>
      <c r="AB28" s="64" t="str">
        <v>●</v>
      </c>
      <c r="AC28" s="64" t="str">
        <v/>
      </c>
      <c r="AD28" s="64" t="str">
        <v/>
      </c>
      <c r="AE28" s="64" t="str">
        <v/>
      </c>
      <c r="AF28" s="64" t="str">
        <v>●</v>
      </c>
      <c r="AG28" s="64" t="str">
        <v/>
      </c>
      <c r="AH28" s="64" t="str">
        <v/>
      </c>
      <c r="AI28" s="64" t="str">
        <v/>
      </c>
      <c r="AJ28" s="64" t="str">
        <v/>
      </c>
      <c r="AK28" s="64" t="str">
        <v/>
      </c>
      <c r="AL28" s="64" t="str">
        <v>●</v>
      </c>
      <c r="AM28" s="64" t="str">
        <v/>
      </c>
      <c r="AN28" s="64" t="str">
        <v/>
      </c>
      <c r="AO28" s="64" t="str">
        <v/>
      </c>
      <c r="AP28" s="64" t="str">
        <v/>
      </c>
      <c r="AQ28" s="64" t="str">
        <v/>
      </c>
      <c r="AR28" s="64" t="str">
        <v/>
      </c>
      <c r="AS28" s="64" t="str">
        <v/>
      </c>
      <c r="AT28" s="64" t="str">
        <v/>
      </c>
      <c r="AU28" s="64" t="str">
        <v/>
      </c>
      <c r="AV28" s="64" t="str">
        <v/>
      </c>
      <c r="AW28" s="64" t="str">
        <v/>
      </c>
      <c r="AX28" s="64" t="str">
        <v/>
      </c>
      <c r="AY28" s="64" t="str">
        <v/>
      </c>
      <c r="AZ28" s="64" t="str">
        <v/>
      </c>
      <c r="BA28" s="64" t="str">
        <v/>
      </c>
      <c r="BB28" s="64" t="str">
        <v>●</v>
      </c>
      <c r="BC28" s="64" t="str">
        <v>●</v>
      </c>
      <c r="BD28" s="64" t="str">
        <v/>
      </c>
      <c r="BE28" s="64" t="str">
        <v/>
      </c>
      <c r="BF28" s="64" t="str">
        <v/>
      </c>
      <c r="BG28" s="64" t="str">
        <v/>
      </c>
      <c r="BH28" s="64" t="str">
        <v/>
      </c>
      <c r="BI28" s="64" t="str">
        <v/>
      </c>
      <c r="BJ28" s="64" t="str">
        <v>●</v>
      </c>
      <c r="BK28" s="64" t="str">
        <v/>
      </c>
      <c r="BL28" s="64" t="str">
        <v/>
      </c>
      <c r="BM28" t="str">
        <v/>
      </c>
      <c r="BN28" t="str">
        <v/>
      </c>
      <c r="BO28" t="str">
        <v/>
      </c>
    </row>
    <row r="29" spans="1:67">
      <c r="A29" s="63" t="str">
        <v>拘束</v>
      </c>
      <c r="B29" s="64" t="str">
        <v/>
      </c>
      <c r="C29" s="64" t="str">
        <v/>
      </c>
      <c r="D29" s="64" t="str">
        <v/>
      </c>
      <c r="E29" s="64" t="str">
        <v/>
      </c>
      <c r="F29" s="64" t="str">
        <v>●</v>
      </c>
      <c r="G29" s="64" t="str">
        <v/>
      </c>
      <c r="H29" s="64" t="str">
        <v/>
      </c>
      <c r="I29" s="64" t="str">
        <v/>
      </c>
      <c r="J29" s="64" t="str">
        <v/>
      </c>
      <c r="K29" s="64" t="str">
        <v/>
      </c>
      <c r="L29" s="64" t="str">
        <v/>
      </c>
      <c r="M29" s="64" t="str">
        <v/>
      </c>
      <c r="N29" s="64" t="str">
        <v/>
      </c>
      <c r="O29" s="64" t="str">
        <v/>
      </c>
      <c r="P29" s="64" t="str">
        <v>●</v>
      </c>
      <c r="Q29" s="64" t="str">
        <v/>
      </c>
      <c r="R29" s="64" t="str">
        <v/>
      </c>
      <c r="S29" s="64" t="str">
        <v/>
      </c>
      <c r="T29" s="64" t="str">
        <v/>
      </c>
      <c r="U29" s="64" t="str">
        <v/>
      </c>
      <c r="V29" s="64" t="str">
        <v/>
      </c>
      <c r="W29" s="64" t="str">
        <v/>
      </c>
      <c r="X29" s="64" t="str">
        <v/>
      </c>
      <c r="Y29" s="64" t="str">
        <v/>
      </c>
      <c r="Z29" s="64" t="str">
        <v/>
      </c>
      <c r="AA29" s="64" t="str">
        <v/>
      </c>
      <c r="AB29" s="64" t="str">
        <v/>
      </c>
      <c r="AC29" s="64" t="str">
        <v/>
      </c>
      <c r="AD29" s="64" t="str">
        <v/>
      </c>
      <c r="AE29" s="64" t="str">
        <v/>
      </c>
      <c r="AF29" s="64" t="str">
        <v/>
      </c>
      <c r="AG29" s="64" t="str">
        <v>●</v>
      </c>
      <c r="AH29" s="64" t="str">
        <v/>
      </c>
      <c r="AI29" s="64" t="str">
        <v/>
      </c>
      <c r="AJ29" s="64" t="str">
        <v/>
      </c>
      <c r="AK29" s="64" t="str">
        <v/>
      </c>
      <c r="AL29" s="64" t="str">
        <v/>
      </c>
      <c r="AM29" s="64" t="str">
        <v/>
      </c>
      <c r="AN29" s="64" t="str">
        <v/>
      </c>
      <c r="AO29" s="64" t="str">
        <v/>
      </c>
      <c r="AP29" s="64" t="str">
        <v>●</v>
      </c>
      <c r="AQ29" s="64" t="str">
        <v/>
      </c>
      <c r="AR29" s="64" t="str">
        <v/>
      </c>
      <c r="AS29" s="64" t="str">
        <v/>
      </c>
      <c r="AT29" s="64" t="str">
        <v/>
      </c>
      <c r="AU29" s="64" t="str">
        <v>●</v>
      </c>
      <c r="AV29" s="64" t="str">
        <v/>
      </c>
      <c r="AW29" s="64" t="str">
        <v/>
      </c>
      <c r="AX29" s="64" t="str">
        <v>●</v>
      </c>
      <c r="AY29" s="64" t="str">
        <v/>
      </c>
      <c r="AZ29" s="64" t="str">
        <v/>
      </c>
      <c r="BA29" s="64" t="str">
        <v/>
      </c>
      <c r="BB29" s="64" t="str">
        <v>●</v>
      </c>
      <c r="BC29" s="64" t="str">
        <v/>
      </c>
      <c r="BD29" s="64" t="str">
        <v/>
      </c>
      <c r="BE29" s="64" t="str">
        <v>●</v>
      </c>
      <c r="BF29" s="64" t="str">
        <v/>
      </c>
      <c r="BG29" s="64" t="str">
        <v/>
      </c>
      <c r="BH29" s="64" t="str">
        <v/>
      </c>
      <c r="BI29" s="64" t="str">
        <v>●</v>
      </c>
      <c r="BJ29" s="64" t="str">
        <v/>
      </c>
      <c r="BK29" s="64" t="str">
        <v/>
      </c>
      <c r="BL29" s="64" t="str">
        <v/>
      </c>
      <c r="BM29" t="str">
        <v/>
      </c>
      <c r="BN29" t="str">
        <v/>
      </c>
      <c r="BO29" t="str">
        <v/>
      </c>
    </row>
    <row r="30" spans="1:67">
      <c r="A30" s="63" t="str">
        <v>構造用接着剤(セル接着剤)</v>
      </c>
      <c r="B30" s="64" t="str">
        <v/>
      </c>
      <c r="C30" s="64" t="str">
        <v/>
      </c>
      <c r="D30" s="64" t="str">
        <v/>
      </c>
      <c r="E30" s="64" t="str">
        <v/>
      </c>
      <c r="F30" s="64" t="str">
        <v>●</v>
      </c>
      <c r="G30" s="64" t="str">
        <v/>
      </c>
      <c r="H30" s="64" t="str">
        <v/>
      </c>
      <c r="I30" s="64" t="str">
        <v/>
      </c>
      <c r="J30" s="64" t="str">
        <v/>
      </c>
      <c r="K30" s="64" t="str">
        <v/>
      </c>
      <c r="L30" s="64" t="str">
        <v/>
      </c>
      <c r="M30" s="64" t="str">
        <v/>
      </c>
      <c r="N30" s="64" t="str">
        <v/>
      </c>
      <c r="O30" s="64" t="str">
        <v/>
      </c>
      <c r="P30" s="64" t="str">
        <v>●</v>
      </c>
      <c r="Q30" s="64" t="str">
        <v/>
      </c>
      <c r="R30" s="64" t="str">
        <v/>
      </c>
      <c r="S30" s="64" t="str">
        <v/>
      </c>
      <c r="T30" s="64" t="str">
        <v/>
      </c>
      <c r="U30" s="64" t="str">
        <v/>
      </c>
      <c r="V30" s="64" t="str">
        <v/>
      </c>
      <c r="W30" s="64" t="str">
        <v/>
      </c>
      <c r="X30" s="64" t="str">
        <v/>
      </c>
      <c r="Y30" s="64" t="str">
        <v/>
      </c>
      <c r="Z30" s="64" t="str">
        <v/>
      </c>
      <c r="AA30" s="64" t="str">
        <v/>
      </c>
      <c r="AB30" s="64" t="str">
        <v/>
      </c>
      <c r="AC30" s="64" t="str">
        <v/>
      </c>
      <c r="AD30" s="64" t="str">
        <v/>
      </c>
      <c r="AE30" s="64" t="str">
        <v/>
      </c>
      <c r="AF30" s="64" t="str">
        <v/>
      </c>
      <c r="AG30" s="64" t="str">
        <v/>
      </c>
      <c r="AH30" s="64" t="str">
        <v/>
      </c>
      <c r="AI30" s="64" t="str">
        <v/>
      </c>
      <c r="AJ30" s="64" t="str">
        <v/>
      </c>
      <c r="AK30" s="64" t="str">
        <v/>
      </c>
      <c r="AL30" s="64" t="str">
        <v/>
      </c>
      <c r="AM30" s="64" t="str">
        <v/>
      </c>
      <c r="AN30" s="64" t="str">
        <v/>
      </c>
      <c r="AO30" s="64" t="str">
        <v/>
      </c>
      <c r="AP30" s="64" t="str">
        <v>●</v>
      </c>
      <c r="AQ30" s="64" t="str">
        <v/>
      </c>
      <c r="AR30" s="64" t="str">
        <v/>
      </c>
      <c r="AS30" s="64" t="str">
        <v/>
      </c>
      <c r="AT30" s="64" t="str">
        <v/>
      </c>
      <c r="AU30" s="64" t="str">
        <v>●</v>
      </c>
      <c r="AV30" s="64" t="str">
        <v/>
      </c>
      <c r="AW30" s="64" t="str">
        <v>●</v>
      </c>
      <c r="AX30" s="64" t="str">
        <v/>
      </c>
      <c r="AY30" s="64" t="str">
        <v/>
      </c>
      <c r="AZ30" s="64" t="str">
        <v>●</v>
      </c>
      <c r="BA30" s="64" t="str">
        <v/>
      </c>
      <c r="BB30" s="64" t="str">
        <v>●</v>
      </c>
      <c r="BC30" s="64" t="str">
        <v/>
      </c>
      <c r="BD30" s="64" t="str">
        <v/>
      </c>
      <c r="BE30" s="64" t="str">
        <v>●</v>
      </c>
      <c r="BF30" s="64" t="str">
        <v/>
      </c>
      <c r="BG30" s="64" t="str">
        <v/>
      </c>
      <c r="BH30" s="64" t="str">
        <v/>
      </c>
      <c r="BI30" s="64" t="str">
        <v/>
      </c>
      <c r="BJ30" s="64" t="str">
        <v/>
      </c>
      <c r="BK30" s="64" t="str">
        <v/>
      </c>
      <c r="BL30" s="64" t="str">
        <v/>
      </c>
      <c r="BM30" t="str">
        <v/>
      </c>
      <c r="BN30" t="str">
        <v/>
      </c>
      <c r="BO30" t="str">
        <v/>
      </c>
    </row>
    <row r="31" spans="1:67">
      <c r="A31" s="63" t="str">
        <v>高圧ヒューズ</v>
      </c>
      <c r="B31" s="64" t="str">
        <v/>
      </c>
      <c r="C31" s="64" t="str">
        <v/>
      </c>
      <c r="D31" s="64" t="str">
        <v>●</v>
      </c>
      <c r="E31" s="64" t="str">
        <v>●</v>
      </c>
      <c r="F31" s="64" t="str">
        <v/>
      </c>
      <c r="G31" s="64" t="str">
        <v/>
      </c>
      <c r="H31" s="64" t="str">
        <v/>
      </c>
      <c r="I31" s="64" t="str">
        <v/>
      </c>
      <c r="J31" s="64" t="str">
        <v/>
      </c>
      <c r="K31" s="64" t="str">
        <v/>
      </c>
      <c r="L31" s="64" t="str">
        <v/>
      </c>
      <c r="M31" s="64" t="str">
        <v/>
      </c>
      <c r="N31" s="64" t="str">
        <v/>
      </c>
      <c r="O31" s="64" t="str">
        <v/>
      </c>
      <c r="P31" s="64" t="str">
        <v/>
      </c>
      <c r="Q31" s="64" t="str">
        <v/>
      </c>
      <c r="R31" s="64" t="str">
        <v/>
      </c>
      <c r="S31" s="64" t="str">
        <v/>
      </c>
      <c r="T31" s="64" t="str">
        <v>●</v>
      </c>
      <c r="U31" s="64" t="str">
        <v/>
      </c>
      <c r="V31" s="64" t="str">
        <v>●</v>
      </c>
      <c r="W31" s="64" t="str">
        <v>●</v>
      </c>
      <c r="X31" s="64" t="str">
        <v/>
      </c>
      <c r="Y31" s="64" t="str">
        <v/>
      </c>
      <c r="Z31" s="64" t="str">
        <v/>
      </c>
      <c r="AA31" s="64" t="str">
        <v/>
      </c>
      <c r="AB31" s="64" t="str">
        <v/>
      </c>
      <c r="AC31" s="64" t="str">
        <v/>
      </c>
      <c r="AD31" s="64" t="str">
        <v>●</v>
      </c>
      <c r="AE31" s="64" t="str">
        <v/>
      </c>
      <c r="AF31" s="64" t="str">
        <v/>
      </c>
      <c r="AG31" s="64" t="str">
        <v/>
      </c>
      <c r="AH31" s="64" t="str">
        <v/>
      </c>
      <c r="AI31" s="64" t="str">
        <v/>
      </c>
      <c r="AJ31" s="64" t="str">
        <v/>
      </c>
      <c r="AK31" s="64" t="str">
        <v/>
      </c>
      <c r="AL31" s="64" t="str">
        <v/>
      </c>
      <c r="AM31" s="64" t="str">
        <v/>
      </c>
      <c r="AN31" s="64" t="str">
        <v/>
      </c>
      <c r="AO31" s="64" t="str">
        <v>●</v>
      </c>
      <c r="AP31" s="64" t="str">
        <v>●</v>
      </c>
      <c r="AQ31" s="64" t="str">
        <v/>
      </c>
      <c r="AR31" s="64" t="str">
        <v/>
      </c>
      <c r="AS31" s="64" t="str">
        <v/>
      </c>
      <c r="AT31" s="64" t="str">
        <v/>
      </c>
      <c r="AU31" s="64" t="str">
        <v/>
      </c>
      <c r="AV31" s="64" t="str">
        <v/>
      </c>
      <c r="AW31" s="64" t="str">
        <v/>
      </c>
      <c r="AX31" s="64" t="str">
        <v>●</v>
      </c>
      <c r="AY31" s="64" t="str">
        <v/>
      </c>
      <c r="AZ31" s="64" t="str">
        <v/>
      </c>
      <c r="BA31" s="64" t="str">
        <v/>
      </c>
      <c r="BB31" s="64" t="str">
        <v>●</v>
      </c>
      <c r="BC31" s="64" t="str">
        <v/>
      </c>
      <c r="BD31" s="64" t="str">
        <v/>
      </c>
      <c r="BE31" s="64" t="str">
        <v/>
      </c>
      <c r="BF31" s="64" t="str">
        <v/>
      </c>
      <c r="BG31" s="64" t="str">
        <v/>
      </c>
      <c r="BH31" s="64" t="str">
        <v/>
      </c>
      <c r="BI31" s="64" t="str">
        <v>●</v>
      </c>
      <c r="BJ31" s="64" t="str">
        <v/>
      </c>
      <c r="BK31" s="64" t="str">
        <v/>
      </c>
      <c r="BL31" s="64" t="str">
        <v/>
      </c>
      <c r="BM31" t="str">
        <v/>
      </c>
      <c r="BN31" t="str">
        <v/>
      </c>
      <c r="BO31" t="str">
        <v/>
      </c>
    </row>
    <row r="32" spans="1:67">
      <c r="A32" s="63" t="str">
        <v>絶縁カバー</v>
      </c>
      <c r="B32" s="64" t="str">
        <v/>
      </c>
      <c r="C32" s="64" t="str">
        <v/>
      </c>
      <c r="D32" s="64" t="str">
        <v>●</v>
      </c>
      <c r="E32" s="64" t="str">
        <v>●</v>
      </c>
      <c r="F32" s="64" t="str">
        <v>●</v>
      </c>
      <c r="G32" s="64" t="str">
        <v>●</v>
      </c>
      <c r="H32" s="64" t="str">
        <v/>
      </c>
      <c r="I32" s="64" t="str">
        <v/>
      </c>
      <c r="J32" s="64" t="str">
        <v>●</v>
      </c>
      <c r="K32" s="64" t="str">
        <v/>
      </c>
      <c r="L32" s="64" t="str">
        <v/>
      </c>
      <c r="M32" s="64" t="str">
        <v/>
      </c>
      <c r="N32" s="64" t="str">
        <v/>
      </c>
      <c r="O32" s="64" t="str">
        <v/>
      </c>
      <c r="P32" s="64" t="str">
        <v/>
      </c>
      <c r="Q32" s="64" t="str">
        <v/>
      </c>
      <c r="R32" s="64" t="str">
        <v/>
      </c>
      <c r="S32" s="64" t="str">
        <v/>
      </c>
      <c r="T32" s="64" t="str">
        <v/>
      </c>
      <c r="U32" s="64" t="str">
        <v/>
      </c>
      <c r="V32" s="64" t="str">
        <v/>
      </c>
      <c r="W32" s="64" t="str">
        <v/>
      </c>
      <c r="X32" s="64" t="str">
        <v/>
      </c>
      <c r="Y32" s="64" t="str">
        <v>●</v>
      </c>
      <c r="Z32" s="64" t="str">
        <v/>
      </c>
      <c r="AA32" s="64" t="str">
        <v/>
      </c>
      <c r="AB32" s="64" t="str">
        <v/>
      </c>
      <c r="AC32" s="64" t="str">
        <v/>
      </c>
      <c r="AD32" s="64" t="str">
        <v>●</v>
      </c>
      <c r="AE32" s="64" t="str">
        <v/>
      </c>
      <c r="AF32" s="64" t="str">
        <v/>
      </c>
      <c r="AG32" s="64" t="str">
        <v/>
      </c>
      <c r="AH32" s="64" t="str">
        <v/>
      </c>
      <c r="AI32" s="64" t="str">
        <v/>
      </c>
      <c r="AJ32" s="64" t="str">
        <v/>
      </c>
      <c r="AK32" s="64" t="str">
        <v/>
      </c>
      <c r="AL32" s="64" t="str">
        <v/>
      </c>
      <c r="AM32" s="64" t="str">
        <v/>
      </c>
      <c r="AN32" s="64" t="str">
        <v/>
      </c>
      <c r="AO32" s="64" t="str">
        <v>●</v>
      </c>
      <c r="AP32" s="64" t="str">
        <v>●</v>
      </c>
      <c r="AQ32" s="64" t="str">
        <v>●</v>
      </c>
      <c r="AR32" s="64" t="str">
        <v/>
      </c>
      <c r="AS32" s="64" t="str">
        <v>●</v>
      </c>
      <c r="AT32" s="64" t="str">
        <v/>
      </c>
      <c r="AU32" s="64" t="str">
        <v/>
      </c>
      <c r="AV32" s="64" t="str">
        <v/>
      </c>
      <c r="AW32" s="64" t="str">
        <v>●</v>
      </c>
      <c r="AX32" s="64" t="str">
        <v/>
      </c>
      <c r="AY32" s="64" t="str">
        <v/>
      </c>
      <c r="AZ32" s="64" t="str">
        <v>●</v>
      </c>
      <c r="BA32" s="64" t="str">
        <v/>
      </c>
      <c r="BB32" s="64" t="str">
        <v>●</v>
      </c>
      <c r="BC32" s="64" t="str">
        <v/>
      </c>
      <c r="BD32" s="64" t="str">
        <v/>
      </c>
      <c r="BE32" s="64" t="str">
        <v>●</v>
      </c>
      <c r="BF32" s="64" t="str">
        <v/>
      </c>
      <c r="BG32" s="64" t="str">
        <v/>
      </c>
      <c r="BH32" s="64" t="str">
        <v/>
      </c>
      <c r="BI32" s="64" t="str">
        <v>●</v>
      </c>
      <c r="BJ32" s="64" t="str">
        <v/>
      </c>
      <c r="BK32" s="64" t="str">
        <v/>
      </c>
      <c r="BL32" s="64" t="str">
        <v>●</v>
      </c>
      <c r="BM32" t="str">
        <v/>
      </c>
      <c r="BN32" t="str">
        <v/>
      </c>
      <c r="BO32" t="str">
        <v/>
      </c>
    </row>
    <row r="33" spans="1:67">
      <c r="A33" s="63" t="str">
        <v>総±バスバー</v>
      </c>
      <c r="B33" s="64" t="str">
        <v/>
      </c>
      <c r="C33" s="64" t="str">
        <v/>
      </c>
      <c r="D33" s="64" t="str">
        <v>●</v>
      </c>
      <c r="E33" s="64" t="str">
        <v>●</v>
      </c>
      <c r="F33" s="64" t="str">
        <v>●</v>
      </c>
      <c r="G33" s="64" t="str">
        <v/>
      </c>
      <c r="H33" s="64" t="str">
        <v/>
      </c>
      <c r="I33" s="64" t="str">
        <v/>
      </c>
      <c r="J33" s="64" t="str">
        <v/>
      </c>
      <c r="K33" s="64" t="str">
        <v/>
      </c>
      <c r="L33" s="64" t="str">
        <v/>
      </c>
      <c r="M33" s="64" t="str">
        <v/>
      </c>
      <c r="N33" s="64" t="str">
        <v/>
      </c>
      <c r="O33" s="64" t="str">
        <v/>
      </c>
      <c r="P33" s="64" t="str">
        <v>●</v>
      </c>
      <c r="Q33" s="64" t="str">
        <v/>
      </c>
      <c r="R33" s="64" t="str">
        <v/>
      </c>
      <c r="S33" s="64" t="str">
        <v/>
      </c>
      <c r="T33" s="64" t="str">
        <v>●</v>
      </c>
      <c r="U33" s="64" t="str">
        <v/>
      </c>
      <c r="V33" s="64" t="str">
        <v>●</v>
      </c>
      <c r="W33" s="64" t="str">
        <v/>
      </c>
      <c r="X33" s="64" t="str">
        <v/>
      </c>
      <c r="Y33" s="64" t="str">
        <v/>
      </c>
      <c r="Z33" s="64" t="str">
        <v/>
      </c>
      <c r="AA33" s="64" t="str">
        <v/>
      </c>
      <c r="AB33" s="64" t="str">
        <v/>
      </c>
      <c r="AC33" s="64" t="str">
        <v/>
      </c>
      <c r="AD33" s="64" t="str">
        <v>●</v>
      </c>
      <c r="AE33" s="64" t="str">
        <v/>
      </c>
      <c r="AF33" s="64" t="str">
        <v/>
      </c>
      <c r="AG33" s="64" t="str">
        <v/>
      </c>
      <c r="AH33" s="64" t="str">
        <v/>
      </c>
      <c r="AI33" s="64" t="str">
        <v/>
      </c>
      <c r="AJ33" s="64" t="str">
        <v/>
      </c>
      <c r="AK33" s="64" t="str">
        <v/>
      </c>
      <c r="AL33" s="64" t="str">
        <v/>
      </c>
      <c r="AM33" s="64" t="str">
        <v/>
      </c>
      <c r="AN33" s="64" t="str">
        <v/>
      </c>
      <c r="AO33" s="64" t="str">
        <v>●</v>
      </c>
      <c r="AP33" s="64" t="str">
        <v>●</v>
      </c>
      <c r="AQ33" s="64" t="str">
        <v/>
      </c>
      <c r="AR33" s="64" t="str">
        <v/>
      </c>
      <c r="AS33" s="64" t="str">
        <v>●</v>
      </c>
      <c r="AT33" s="64" t="str">
        <v/>
      </c>
      <c r="AU33" s="64" t="str">
        <v>●</v>
      </c>
      <c r="AV33" s="64" t="str">
        <v/>
      </c>
      <c r="AW33" s="64" t="str">
        <v>●</v>
      </c>
      <c r="AX33" s="64" t="str">
        <v>●</v>
      </c>
      <c r="AY33" s="64" t="str">
        <v/>
      </c>
      <c r="AZ33" s="64" t="str">
        <v>●</v>
      </c>
      <c r="BA33" s="64" t="str">
        <v/>
      </c>
      <c r="BB33" s="64" t="str">
        <v>●</v>
      </c>
      <c r="BC33" s="64" t="str">
        <v/>
      </c>
      <c r="BD33" s="64" t="str">
        <v/>
      </c>
      <c r="BE33" s="64" t="str">
        <v/>
      </c>
      <c r="BF33" s="64" t="str">
        <v/>
      </c>
      <c r="BG33" s="64" t="str">
        <v/>
      </c>
      <c r="BH33" s="64" t="str">
        <v/>
      </c>
      <c r="BI33" s="64" t="str">
        <v>●</v>
      </c>
      <c r="BJ33" s="64" t="str">
        <v/>
      </c>
      <c r="BK33" s="64" t="str">
        <v/>
      </c>
      <c r="BL33" s="64" t="str">
        <v/>
      </c>
      <c r="BM33" t="str">
        <v/>
      </c>
      <c r="BN33" t="str">
        <v/>
      </c>
      <c r="BO33" t="str">
        <v/>
      </c>
    </row>
    <row r="34" spans="1:67">
      <c r="A34" s="63" t="str">
        <v>端子台</v>
      </c>
      <c r="B34" s="64" t="str">
        <v/>
      </c>
      <c r="C34" s="64" t="str">
        <v/>
      </c>
      <c r="D34" s="64" t="str">
        <v>●</v>
      </c>
      <c r="E34" s="64" t="str">
        <v>●</v>
      </c>
      <c r="F34" s="64" t="str">
        <v/>
      </c>
      <c r="G34" s="64" t="str">
        <v/>
      </c>
      <c r="H34" s="64" t="str">
        <v/>
      </c>
      <c r="I34" s="64" t="str">
        <v/>
      </c>
      <c r="J34" s="64" t="str">
        <v/>
      </c>
      <c r="K34" s="64" t="str">
        <v/>
      </c>
      <c r="L34" s="64" t="str">
        <v/>
      </c>
      <c r="M34" s="64" t="str">
        <v/>
      </c>
      <c r="N34" s="64" t="str">
        <v/>
      </c>
      <c r="O34" s="64" t="str">
        <v/>
      </c>
      <c r="P34" s="64" t="str">
        <v/>
      </c>
      <c r="Q34" s="64" t="str">
        <v/>
      </c>
      <c r="R34" s="64" t="str">
        <v/>
      </c>
      <c r="S34" s="64" t="str">
        <v/>
      </c>
      <c r="T34" s="64" t="str">
        <v/>
      </c>
      <c r="U34" s="64" t="str">
        <v/>
      </c>
      <c r="V34" s="64" t="str">
        <v/>
      </c>
      <c r="W34" s="64" t="str">
        <v/>
      </c>
      <c r="X34" s="64" t="str">
        <v/>
      </c>
      <c r="Y34" s="64" t="str">
        <v/>
      </c>
      <c r="Z34" s="64" t="str">
        <v/>
      </c>
      <c r="AA34" s="64" t="str">
        <v/>
      </c>
      <c r="AB34" s="64" t="str">
        <v/>
      </c>
      <c r="AC34" s="64" t="str">
        <v/>
      </c>
      <c r="AD34" s="64" t="str">
        <v>●</v>
      </c>
      <c r="AE34" s="64" t="str">
        <v/>
      </c>
      <c r="AF34" s="64" t="str">
        <v/>
      </c>
      <c r="AG34" s="64" t="str">
        <v/>
      </c>
      <c r="AH34" s="64" t="str">
        <v/>
      </c>
      <c r="AI34" s="64" t="str">
        <v/>
      </c>
      <c r="AJ34" s="64" t="str">
        <v/>
      </c>
      <c r="AK34" s="64" t="str">
        <v/>
      </c>
      <c r="AL34" s="64" t="str">
        <v/>
      </c>
      <c r="AM34" s="64" t="str">
        <v/>
      </c>
      <c r="AN34" s="64" t="str">
        <v/>
      </c>
      <c r="AO34" s="64" t="str">
        <v/>
      </c>
      <c r="AP34" s="64" t="str">
        <v>●</v>
      </c>
      <c r="AQ34" s="64" t="str">
        <v/>
      </c>
      <c r="AR34" s="64" t="str">
        <v/>
      </c>
      <c r="AS34" s="64" t="str">
        <v/>
      </c>
      <c r="AT34" s="64" t="str">
        <v/>
      </c>
      <c r="AU34" s="64" t="str">
        <v/>
      </c>
      <c r="AV34" s="64" t="str">
        <v/>
      </c>
      <c r="AW34" s="64" t="str">
        <v/>
      </c>
      <c r="AX34" s="64" t="str">
        <v/>
      </c>
      <c r="AY34" s="64" t="str">
        <v/>
      </c>
      <c r="AZ34" s="64" t="str">
        <v/>
      </c>
      <c r="BA34" s="64" t="str">
        <v/>
      </c>
      <c r="BB34" s="64" t="str">
        <v>●</v>
      </c>
      <c r="BC34" s="64" t="str">
        <v/>
      </c>
      <c r="BD34" s="64" t="str">
        <v/>
      </c>
      <c r="BE34" s="64" t="str">
        <v/>
      </c>
      <c r="BF34" s="64" t="str">
        <v/>
      </c>
      <c r="BG34" s="64" t="str">
        <v/>
      </c>
      <c r="BH34" s="64" t="str">
        <v/>
      </c>
      <c r="BI34" s="64" t="str">
        <v/>
      </c>
      <c r="BJ34" s="64" t="str">
        <v/>
      </c>
      <c r="BK34" s="64" t="str">
        <v/>
      </c>
      <c r="BL34" s="64" t="str">
        <v/>
      </c>
      <c r="BM34" t="str">
        <v/>
      </c>
      <c r="BN34" t="str">
        <v/>
      </c>
      <c r="BO34" t="str">
        <v/>
      </c>
    </row>
    <row r="35" spans="1:67">
      <c r="A35" t="str">
        <v>端絶縁板</v>
      </c>
      <c r="B35" t="str">
        <v/>
      </c>
      <c r="C35" t="str">
        <v/>
      </c>
      <c r="D35" t="str">
        <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
      </c>
      <c r="AJ35" t="str">
        <v/>
      </c>
      <c r="AK35" t="str">
        <v/>
      </c>
      <c r="AL35" t="str">
        <v/>
      </c>
      <c r="AM35" t="str">
        <v/>
      </c>
      <c r="AN35" t="str">
        <v/>
      </c>
      <c r="AO35" t="str">
        <v/>
      </c>
      <c r="AP35" t="str">
        <v>●</v>
      </c>
      <c r="AQ35" t="str">
        <v/>
      </c>
      <c r="AR35" t="str">
        <v/>
      </c>
      <c r="AS35" t="str">
        <v/>
      </c>
      <c r="AT35" t="str">
        <v/>
      </c>
      <c r="AU35" t="str">
        <v/>
      </c>
      <c r="AV35" t="str">
        <v/>
      </c>
      <c r="AW35" t="str">
        <v/>
      </c>
      <c r="AX35" t="str">
        <v/>
      </c>
      <c r="AY35" t="str">
        <v/>
      </c>
      <c r="AZ35" t="str">
        <v/>
      </c>
      <c r="BA35" t="str">
        <v/>
      </c>
      <c r="BB35" t="str">
        <v>●</v>
      </c>
      <c r="BC35" t="str">
        <v/>
      </c>
      <c r="BD35" t="str">
        <v/>
      </c>
      <c r="BE35" t="str">
        <v/>
      </c>
      <c r="BF35" t="str">
        <v/>
      </c>
      <c r="BG35" t="str">
        <v/>
      </c>
      <c r="BH35" t="str">
        <v/>
      </c>
      <c r="BI35" t="str">
        <v/>
      </c>
      <c r="BJ35" t="str">
        <v/>
      </c>
      <c r="BK35" t="str">
        <v/>
      </c>
      <c r="BL35" t="str">
        <v/>
      </c>
      <c r="BM35" t="str">
        <v/>
      </c>
      <c r="BN35" t="str">
        <v/>
      </c>
      <c r="BO35" t="str">
        <v/>
      </c>
    </row>
    <row r="36" spans="1:67">
      <c r="A36" t="str">
        <v>低圧/高圧パックI/Fシール材</v>
      </c>
      <c r="B36" t="str">
        <v>●</v>
      </c>
      <c r="C36" t="str">
        <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
      </c>
      <c r="BL36" t="str">
        <v/>
      </c>
      <c r="BM36" t="str">
        <v/>
      </c>
      <c r="BN36" t="str">
        <v/>
      </c>
      <c r="BO36" t="str">
        <v/>
      </c>
    </row>
    <row r="37" spans="1:67">
      <c r="A37" t="str">
        <v>低圧コネクタ</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
      </c>
      <c r="BF37" t="str">
        <v/>
      </c>
      <c r="BG37" t="str">
        <v/>
      </c>
      <c r="BH37" t="str">
        <v/>
      </c>
      <c r="BI37" t="str">
        <v/>
      </c>
      <c r="BJ37" t="str">
        <v/>
      </c>
      <c r="BK37" t="str">
        <v/>
      </c>
      <c r="BL37" t="str">
        <v/>
      </c>
      <c r="BM37" t="str">
        <v/>
      </c>
      <c r="BN37" t="str">
        <v/>
      </c>
      <c r="BO37" t="str">
        <v/>
      </c>
    </row>
    <row r="38" spans="1:67">
      <c r="A38" t="str">
        <v>熱伝導材</v>
      </c>
      <c r="B38" t="str">
        <v/>
      </c>
      <c r="C38" t="str">
        <v/>
      </c>
      <c r="D38" t="str">
        <v/>
      </c>
      <c r="E38" t="str">
        <v/>
      </c>
      <c r="F38" t="str">
        <v>●</v>
      </c>
      <c r="G38" t="str">
        <v/>
      </c>
      <c r="H38" t="str">
        <v>●</v>
      </c>
      <c r="I38" t="str">
        <v/>
      </c>
      <c r="J38" t="str">
        <v/>
      </c>
      <c r="K38" t="str">
        <v/>
      </c>
      <c r="L38" t="str">
        <v/>
      </c>
      <c r="M38" t="str">
        <v/>
      </c>
      <c r="N38" t="str">
        <v/>
      </c>
      <c r="O38" t="str">
        <v>●</v>
      </c>
      <c r="P38" t="str">
        <v>●</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c r="AM38" t="str">
        <v/>
      </c>
      <c r="AN38" t="str">
        <v/>
      </c>
      <c r="AO38" t="str">
        <v/>
      </c>
      <c r="AP38" t="str">
        <v>●</v>
      </c>
      <c r="AQ38" t="str">
        <v/>
      </c>
      <c r="AR38" t="str">
        <v/>
      </c>
      <c r="AS38" t="str">
        <v/>
      </c>
      <c r="AT38" t="str">
        <v/>
      </c>
      <c r="AU38" t="str">
        <v>●</v>
      </c>
      <c r="AV38" t="str">
        <v/>
      </c>
      <c r="AW38" t="str">
        <v>●</v>
      </c>
      <c r="AX38" t="str">
        <v/>
      </c>
      <c r="AY38" t="str">
        <v/>
      </c>
      <c r="AZ38" t="str">
        <v>●</v>
      </c>
      <c r="BA38" t="str">
        <v/>
      </c>
      <c r="BB38" t="str">
        <v>●</v>
      </c>
      <c r="BC38" t="str">
        <v/>
      </c>
      <c r="BD38" t="str">
        <v/>
      </c>
      <c r="BE38" t="str">
        <v>●</v>
      </c>
      <c r="BF38" t="str">
        <v/>
      </c>
      <c r="BG38" t="str">
        <v/>
      </c>
      <c r="BH38" t="str">
        <v/>
      </c>
      <c r="BI38" t="str">
        <v/>
      </c>
      <c r="BJ38" t="str">
        <v/>
      </c>
      <c r="BK38" t="str">
        <v/>
      </c>
      <c r="BL38" t="str">
        <v/>
      </c>
      <c r="BM38" t="str">
        <v/>
      </c>
      <c r="BN38" t="str">
        <v/>
      </c>
      <c r="BO38" t="str">
        <v/>
      </c>
    </row>
    <row r="39" spans="1:67">
      <c r="A39" t="str">
        <v>排煙サーミスタ</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
      </c>
      <c r="AG39" t="str">
        <v/>
      </c>
      <c r="AH39" t="str">
        <v/>
      </c>
      <c r="AI39" t="str">
        <v/>
      </c>
      <c r="AJ39" t="str">
        <v/>
      </c>
      <c r="AK39" t="str">
        <v/>
      </c>
      <c r="AL39" t="str">
        <v/>
      </c>
      <c r="AM39" t="str">
        <v/>
      </c>
      <c r="AN39" t="str">
        <v/>
      </c>
      <c r="AO39" t="str">
        <v/>
      </c>
      <c r="AP39" t="str">
        <v>●</v>
      </c>
      <c r="AQ39" t="str">
        <v/>
      </c>
      <c r="AR39" t="str">
        <v/>
      </c>
      <c r="AS39" t="str">
        <v/>
      </c>
      <c r="AT39" t="str">
        <v/>
      </c>
      <c r="AU39" t="str">
        <v/>
      </c>
      <c r="AV39" t="str">
        <v/>
      </c>
      <c r="AW39" t="str">
        <v/>
      </c>
      <c r="AX39" t="str">
        <v/>
      </c>
      <c r="AY39" t="str">
        <v/>
      </c>
      <c r="AZ39" t="str">
        <v/>
      </c>
      <c r="BA39" t="str">
        <v/>
      </c>
      <c r="BB39" t="str">
        <v>●</v>
      </c>
      <c r="BC39" t="str">
        <v/>
      </c>
      <c r="BD39" t="str">
        <v/>
      </c>
      <c r="BE39" t="str">
        <v/>
      </c>
      <c r="BF39" t="str">
        <v/>
      </c>
      <c r="BG39" t="str">
        <v/>
      </c>
      <c r="BH39" t="str">
        <v/>
      </c>
      <c r="BI39" t="str">
        <v/>
      </c>
      <c r="BJ39" t="str">
        <v/>
      </c>
      <c r="BK39" t="str">
        <v/>
      </c>
      <c r="BL39" t="str">
        <v/>
      </c>
      <c r="BM39" t="str">
        <v>●</v>
      </c>
      <c r="BN39" t="str">
        <v>●</v>
      </c>
      <c r="BO39" t="str">
        <v/>
      </c>
    </row>
    <row r="40" spans="1:67">
      <c r="A40" t="str">
        <v>排煙バルブ</v>
      </c>
      <c r="B40" t="str">
        <v>●</v>
      </c>
      <c r="C40" t="str">
        <v>●</v>
      </c>
      <c r="D40" t="str">
        <v/>
      </c>
      <c r="E40" t="str">
        <v/>
      </c>
      <c r="F40" t="str">
        <v>●</v>
      </c>
      <c r="G40" t="str">
        <v/>
      </c>
      <c r="H40" t="str">
        <v/>
      </c>
      <c r="I40" t="str">
        <v/>
      </c>
      <c r="J40" t="str">
        <v>●</v>
      </c>
      <c r="K40" t="str">
        <v>●</v>
      </c>
      <c r="L40" t="str">
        <v>●</v>
      </c>
      <c r="M40" t="str">
        <v>●</v>
      </c>
      <c r="N40" t="str">
        <v/>
      </c>
      <c r="O40" t="str">
        <v/>
      </c>
      <c r="P40" t="str">
        <v/>
      </c>
      <c r="Q40" t="str">
        <v>●</v>
      </c>
      <c r="R40" t="str">
        <v>●</v>
      </c>
      <c r="S40" t="str">
        <v/>
      </c>
      <c r="T40" t="str">
        <v>●</v>
      </c>
      <c r="U40" t="str">
        <v>●</v>
      </c>
      <c r="V40" t="str">
        <v/>
      </c>
      <c r="W40" t="str">
        <v>●</v>
      </c>
      <c r="X40" t="str">
        <v>●</v>
      </c>
      <c r="Y40" t="str">
        <v/>
      </c>
      <c r="Z40" t="str">
        <v>●</v>
      </c>
      <c r="AA40" t="str">
        <v>●</v>
      </c>
      <c r="AB40" t="str">
        <v>●</v>
      </c>
      <c r="AC40" t="str">
        <v/>
      </c>
      <c r="AD40" t="str">
        <v/>
      </c>
      <c r="AE40" t="str">
        <v/>
      </c>
      <c r="AF40" t="str">
        <v>●</v>
      </c>
      <c r="AG40" t="str">
        <v/>
      </c>
      <c r="AH40" t="str">
        <v>●</v>
      </c>
      <c r="AI40" t="str">
        <v>●</v>
      </c>
      <c r="AJ40" t="str">
        <v>●</v>
      </c>
      <c r="AK40" t="str">
        <v>●</v>
      </c>
      <c r="AL40" t="str">
        <v>●</v>
      </c>
      <c r="AM40" t="str">
        <v/>
      </c>
      <c r="AN40" t="str">
        <v/>
      </c>
      <c r="AO40" t="str">
        <v/>
      </c>
      <c r="AP40" t="str">
        <v/>
      </c>
      <c r="AQ40" t="str">
        <v/>
      </c>
      <c r="AR40" t="str">
        <v/>
      </c>
      <c r="AS40" t="str">
        <v/>
      </c>
      <c r="AT40" t="str">
        <v>●</v>
      </c>
      <c r="AU40" t="str">
        <v/>
      </c>
      <c r="AV40" t="str">
        <v/>
      </c>
      <c r="AW40" t="str">
        <v/>
      </c>
      <c r="AX40" t="str">
        <v>●</v>
      </c>
      <c r="AY40" t="str">
        <v>●</v>
      </c>
      <c r="AZ40" t="str">
        <v/>
      </c>
      <c r="BA40" t="str">
        <v/>
      </c>
      <c r="BB40" t="str">
        <v>●</v>
      </c>
      <c r="BC40" t="str">
        <v>●</v>
      </c>
      <c r="BD40" t="str">
        <v/>
      </c>
      <c r="BE40" t="str">
        <v/>
      </c>
      <c r="BF40" t="str">
        <v/>
      </c>
      <c r="BG40" t="str">
        <v/>
      </c>
      <c r="BH40" t="str">
        <v>●</v>
      </c>
      <c r="BI40" t="str">
        <v>●</v>
      </c>
      <c r="BJ40" t="str">
        <v>●</v>
      </c>
      <c r="BK40" t="str">
        <v>●</v>
      </c>
      <c r="BL40" t="str">
        <v>●</v>
      </c>
      <c r="BM40" t="str">
        <v/>
      </c>
      <c r="BN40" t="str">
        <v/>
      </c>
      <c r="BO40" t="str">
        <v>●</v>
      </c>
    </row>
    <row r="41" spans="1:67">
      <c r="A41" t="str">
        <v>冷却器</v>
      </c>
      <c r="B41" t="str">
        <v/>
      </c>
      <c r="C41" t="str">
        <v/>
      </c>
      <c r="D41" t="str">
        <v/>
      </c>
      <c r="E41" t="str">
        <v/>
      </c>
      <c r="F41" t="str">
        <v>●</v>
      </c>
      <c r="G41" t="str">
        <v/>
      </c>
      <c r="H41" t="str">
        <v>●</v>
      </c>
      <c r="I41" t="str">
        <v/>
      </c>
      <c r="J41" t="str">
        <v/>
      </c>
      <c r="K41" t="str">
        <v/>
      </c>
      <c r="L41" t="str">
        <v/>
      </c>
      <c r="M41" t="str">
        <v/>
      </c>
      <c r="N41" t="str">
        <v/>
      </c>
      <c r="O41" t="str">
        <v>●</v>
      </c>
      <c r="P41" t="str">
        <v>●</v>
      </c>
      <c r="Q41" t="str">
        <v/>
      </c>
      <c r="R41" t="str">
        <v/>
      </c>
      <c r="S41" t="str">
        <v/>
      </c>
      <c r="T41" t="str">
        <v/>
      </c>
      <c r="U41" t="str">
        <v/>
      </c>
      <c r="V41" t="str">
        <v/>
      </c>
      <c r="W41" t="str">
        <v/>
      </c>
      <c r="X41" t="str">
        <v/>
      </c>
      <c r="Y41" t="str">
        <v/>
      </c>
      <c r="Z41" t="str">
        <v/>
      </c>
      <c r="AA41" t="str">
        <v/>
      </c>
      <c r="AB41" t="str">
        <v/>
      </c>
      <c r="AC41" t="str">
        <v/>
      </c>
      <c r="AD41" t="str">
        <v/>
      </c>
      <c r="AE41" t="str">
        <v/>
      </c>
      <c r="AF41" t="str">
        <v/>
      </c>
      <c r="AG41" t="str">
        <v/>
      </c>
      <c r="AH41" t="str">
        <v/>
      </c>
      <c r="AI41" t="str">
        <v/>
      </c>
      <c r="AJ41" t="str">
        <v/>
      </c>
      <c r="AK41" t="str">
        <v/>
      </c>
      <c r="AL41" t="str">
        <v/>
      </c>
      <c r="AM41" t="str">
        <v/>
      </c>
      <c r="AN41" t="str">
        <v/>
      </c>
      <c r="AO41" t="str">
        <v/>
      </c>
      <c r="AP41" t="str">
        <v/>
      </c>
      <c r="AQ41" t="str">
        <v/>
      </c>
      <c r="AR41" t="str">
        <v/>
      </c>
      <c r="AS41" t="str">
        <v/>
      </c>
      <c r="AT41" t="str">
        <v/>
      </c>
      <c r="AU41" t="str">
        <v>●</v>
      </c>
      <c r="AV41" t="str">
        <v/>
      </c>
      <c r="AW41" t="str">
        <v>●</v>
      </c>
      <c r="AX41" t="str">
        <v/>
      </c>
      <c r="AY41" t="str">
        <v/>
      </c>
      <c r="AZ41" t="str">
        <v>●</v>
      </c>
      <c r="BA41" t="str">
        <v/>
      </c>
      <c r="BB41" t="str">
        <v>●</v>
      </c>
      <c r="BC41" t="str">
        <v/>
      </c>
      <c r="BD41" t="str">
        <v/>
      </c>
      <c r="BE41" t="str">
        <v/>
      </c>
      <c r="BF41" t="str">
        <v/>
      </c>
      <c r="BG41" t="str">
        <v/>
      </c>
      <c r="BH41" t="str">
        <v/>
      </c>
      <c r="BI41" t="str">
        <v/>
      </c>
      <c r="BJ41" t="str">
        <v/>
      </c>
      <c r="BK41" t="str">
        <v/>
      </c>
      <c r="BL41" t="str">
        <v/>
      </c>
      <c r="BM41" t="str">
        <v/>
      </c>
      <c r="BN41" t="str">
        <v/>
      </c>
      <c r="BO41" t="str">
        <v/>
      </c>
    </row>
    <row r="48" spans="1:67" ht="24" customHeight="1"/>
    <row r="49" ht="24" customHeight="1"/>
    <row r="52" ht="24" customHeight="1"/>
    <row r="53" ht="24" customHeight="1"/>
    <row r="56" ht="24" customHeight="1"/>
    <row r="57" ht="24" customHeight="1"/>
  </sheetData>
  <mergeCells count="4">
    <mergeCell ref="A1:BL1"/>
    <mergeCell ref="A2:BL2"/>
    <mergeCell ref="A4:BL4"/>
    <mergeCell ref="A5:BL5"/>
  </mergeCells>
  <phoneticPr fontId="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53103-C0A3-4A54-AD73-9A3600FAD7FF}">
  <sheetPr>
    <tabColor rgb="FF70AD47"/>
  </sheetPr>
  <dimension ref="A1:BT72"/>
  <sheetViews>
    <sheetView showGridLines="0" zoomScale="70" zoomScaleNormal="70" workbookViewId="0">
      <pane xSplit="1" topLeftCell="B1" activePane="topRight" state="frozen"/>
      <selection pane="topRight" activeCell="W3" sqref="W3"/>
    </sheetView>
  </sheetViews>
  <sheetFormatPr defaultRowHeight="18"/>
  <cols>
    <col min="1" max="1" width="88.83203125" style="40" customWidth="1"/>
    <col min="2" max="72" width="4.58203125" style="40" customWidth="1"/>
    <col min="74" max="74" width="8.58203125" bestFit="1" customWidth="1"/>
  </cols>
  <sheetData>
    <row r="1" spans="1:72" ht="409.5" customHeight="1">
      <c r="A1" s="136" t="s">
        <v>564</v>
      </c>
      <c r="B1" s="139" t="s">
        <v>565</v>
      </c>
      <c r="C1" s="138" t="s">
        <v>566</v>
      </c>
      <c r="D1" s="138" t="s">
        <v>567</v>
      </c>
      <c r="E1" s="138" t="s">
        <v>568</v>
      </c>
      <c r="F1" s="138" t="s">
        <v>569</v>
      </c>
      <c r="G1" s="138" t="s">
        <v>570</v>
      </c>
      <c r="H1" s="138" t="s">
        <v>571</v>
      </c>
      <c r="I1" s="138" t="s">
        <v>572</v>
      </c>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8"/>
      <c r="BK1" s="138"/>
      <c r="BL1" s="138"/>
      <c r="BM1" s="138"/>
      <c r="BN1" s="138"/>
      <c r="BO1" s="138"/>
      <c r="BP1" s="138"/>
      <c r="BQ1" s="138"/>
      <c r="BR1" s="138"/>
      <c r="BS1" s="138"/>
      <c r="BT1" s="138"/>
    </row>
    <row r="2" spans="1:72" ht="18" customHeight="1">
      <c r="A2" s="137" t="s">
        <v>18</v>
      </c>
      <c r="B2" s="34"/>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6"/>
    </row>
    <row r="3" spans="1:72" ht="18" customHeight="1">
      <c r="A3" s="137" t="s">
        <v>573</v>
      </c>
      <c r="B3" s="37"/>
      <c r="C3" s="38"/>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6"/>
    </row>
    <row r="4" spans="1:72" ht="18" customHeight="1">
      <c r="A4" s="137" t="s">
        <v>574</v>
      </c>
      <c r="B4" s="37"/>
      <c r="C4" s="35"/>
      <c r="D4" s="38"/>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6"/>
    </row>
    <row r="5" spans="1:72" ht="18" customHeight="1">
      <c r="A5" s="137" t="s">
        <v>575</v>
      </c>
      <c r="B5" s="37"/>
      <c r="C5" s="35"/>
      <c r="D5" s="35"/>
      <c r="E5" s="38"/>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6"/>
    </row>
    <row r="6" spans="1:72" ht="18" customHeight="1">
      <c r="A6" s="137" t="s">
        <v>576</v>
      </c>
      <c r="B6" s="37"/>
      <c r="C6" s="35"/>
      <c r="D6" s="35"/>
      <c r="E6" s="35"/>
      <c r="F6" s="38"/>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6"/>
    </row>
    <row r="7" spans="1:72" ht="18" customHeight="1">
      <c r="A7" s="137" t="s">
        <v>577</v>
      </c>
      <c r="B7" s="37"/>
      <c r="C7" s="35"/>
      <c r="D7" s="35"/>
      <c r="E7" s="35"/>
      <c r="F7" s="35"/>
      <c r="G7" s="38"/>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6"/>
    </row>
    <row r="8" spans="1:72" ht="18" customHeight="1">
      <c r="A8" s="137" t="s">
        <v>578</v>
      </c>
      <c r="B8" s="37"/>
      <c r="C8" s="35"/>
      <c r="D8" s="35"/>
      <c r="E8" s="35"/>
      <c r="F8" s="35"/>
      <c r="G8" s="35"/>
      <c r="H8" s="38"/>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6"/>
    </row>
    <row r="9" spans="1:72" ht="18" customHeight="1">
      <c r="A9" s="137" t="s">
        <v>579</v>
      </c>
      <c r="B9" s="37"/>
      <c r="C9" s="35"/>
      <c r="D9" s="35"/>
      <c r="E9" s="35"/>
      <c r="F9" s="35"/>
      <c r="G9" s="35"/>
      <c r="H9" s="35"/>
      <c r="I9" s="38"/>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6"/>
    </row>
    <row r="10" spans="1:72" ht="18" customHeight="1">
      <c r="A10" s="137" t="s">
        <v>580</v>
      </c>
      <c r="B10" s="37"/>
      <c r="C10" s="35"/>
      <c r="D10" s="35"/>
      <c r="E10" s="35"/>
      <c r="F10" s="35"/>
      <c r="G10" s="35"/>
      <c r="H10" s="35"/>
      <c r="I10" s="35"/>
      <c r="J10" s="38"/>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6"/>
    </row>
    <row r="11" spans="1:72" ht="18" customHeight="1">
      <c r="A11" s="137" t="s">
        <v>581</v>
      </c>
      <c r="B11" s="37"/>
      <c r="C11" s="35"/>
      <c r="D11" s="35"/>
      <c r="E11" s="35"/>
      <c r="F11" s="35"/>
      <c r="G11" s="35"/>
      <c r="H11" s="35"/>
      <c r="I11" s="35"/>
      <c r="J11" s="35"/>
      <c r="K11" s="38"/>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6"/>
    </row>
    <row r="12" spans="1:72" ht="18" customHeight="1">
      <c r="A12" s="137" t="s">
        <v>99</v>
      </c>
      <c r="B12" s="37"/>
      <c r="C12" s="35"/>
      <c r="D12" s="35"/>
      <c r="E12" s="35"/>
      <c r="F12" s="35"/>
      <c r="G12" s="35"/>
      <c r="H12" s="35"/>
      <c r="I12" s="35"/>
      <c r="J12" s="35"/>
      <c r="K12" s="35"/>
      <c r="L12" s="38"/>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6"/>
    </row>
    <row r="13" spans="1:72" ht="18" customHeight="1">
      <c r="A13" s="137" t="s">
        <v>582</v>
      </c>
      <c r="B13" s="37"/>
      <c r="C13" s="35"/>
      <c r="D13" s="35"/>
      <c r="E13" s="35"/>
      <c r="F13" s="35"/>
      <c r="G13" s="35"/>
      <c r="H13" s="35"/>
      <c r="I13" s="35"/>
      <c r="J13" s="35"/>
      <c r="K13" s="35"/>
      <c r="L13" s="35"/>
      <c r="M13" s="38"/>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6"/>
    </row>
    <row r="14" spans="1:72" ht="18" customHeight="1">
      <c r="A14" s="137" t="s">
        <v>583</v>
      </c>
      <c r="B14" s="37"/>
      <c r="C14" s="35"/>
      <c r="D14" s="35"/>
      <c r="E14" s="35"/>
      <c r="F14" s="35"/>
      <c r="G14" s="35"/>
      <c r="H14" s="35"/>
      <c r="I14" s="35"/>
      <c r="J14" s="35"/>
      <c r="K14" s="35"/>
      <c r="L14" s="35"/>
      <c r="M14" s="35"/>
      <c r="N14" s="38"/>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6"/>
    </row>
    <row r="15" spans="1:72" ht="18" customHeight="1">
      <c r="A15" s="137" t="s">
        <v>584</v>
      </c>
      <c r="B15" s="37"/>
      <c r="C15" s="35"/>
      <c r="D15" s="35"/>
      <c r="E15" s="35"/>
      <c r="F15" s="35"/>
      <c r="G15" s="35"/>
      <c r="H15" s="35"/>
      <c r="I15" s="35"/>
      <c r="J15" s="35"/>
      <c r="K15" s="35"/>
      <c r="L15" s="35"/>
      <c r="M15" s="35"/>
      <c r="N15" s="35"/>
      <c r="O15" s="38"/>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6"/>
    </row>
    <row r="16" spans="1:72" ht="18" customHeight="1">
      <c r="A16" s="137" t="s">
        <v>585</v>
      </c>
      <c r="B16" s="37"/>
      <c r="C16" s="35"/>
      <c r="D16" s="35"/>
      <c r="E16" s="35"/>
      <c r="F16" s="35"/>
      <c r="G16" s="35"/>
      <c r="H16" s="35"/>
      <c r="I16" s="35"/>
      <c r="J16" s="35"/>
      <c r="K16" s="35"/>
      <c r="L16" s="35"/>
      <c r="M16" s="35"/>
      <c r="N16" s="35"/>
      <c r="O16" s="35"/>
      <c r="P16" s="38"/>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6"/>
    </row>
    <row r="17" spans="1:72" ht="18" customHeight="1">
      <c r="A17" s="137" t="s">
        <v>586</v>
      </c>
      <c r="B17" s="37"/>
      <c r="C17" s="35"/>
      <c r="D17" s="35"/>
      <c r="E17" s="35"/>
      <c r="F17" s="35"/>
      <c r="G17" s="35"/>
      <c r="H17" s="35"/>
      <c r="I17" s="35"/>
      <c r="J17" s="35"/>
      <c r="K17" s="35"/>
      <c r="L17" s="35"/>
      <c r="M17" s="35"/>
      <c r="N17" s="35"/>
      <c r="O17" s="35"/>
      <c r="P17" s="35"/>
      <c r="Q17" s="38"/>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6"/>
    </row>
    <row r="18" spans="1:72" ht="18" customHeight="1">
      <c r="A18" s="137" t="s">
        <v>587</v>
      </c>
      <c r="B18" s="37"/>
      <c r="C18" s="35"/>
      <c r="D18" s="35"/>
      <c r="E18" s="35"/>
      <c r="F18" s="35"/>
      <c r="G18" s="35"/>
      <c r="H18" s="35"/>
      <c r="I18" s="35"/>
      <c r="J18" s="35"/>
      <c r="K18" s="35"/>
      <c r="L18" s="35"/>
      <c r="M18" s="35"/>
      <c r="N18" s="35"/>
      <c r="O18" s="35"/>
      <c r="P18" s="35"/>
      <c r="Q18" s="35"/>
      <c r="R18" s="38"/>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6"/>
    </row>
    <row r="19" spans="1:72" ht="18" customHeight="1">
      <c r="A19" s="137" t="s">
        <v>588</v>
      </c>
      <c r="B19" s="37"/>
      <c r="C19" s="35"/>
      <c r="D19" s="35"/>
      <c r="E19" s="35"/>
      <c r="F19" s="35"/>
      <c r="G19" s="35"/>
      <c r="H19" s="35"/>
      <c r="I19" s="35"/>
      <c r="J19" s="35"/>
      <c r="K19" s="35"/>
      <c r="L19" s="35"/>
      <c r="M19" s="35"/>
      <c r="N19" s="35"/>
      <c r="O19" s="35"/>
      <c r="P19" s="35"/>
      <c r="Q19" s="35"/>
      <c r="R19" s="35"/>
      <c r="S19" s="38"/>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6"/>
    </row>
    <row r="20" spans="1:72" ht="18" customHeight="1">
      <c r="A20" s="137" t="s">
        <v>589</v>
      </c>
      <c r="B20" s="37"/>
      <c r="C20" s="35"/>
      <c r="D20" s="35"/>
      <c r="E20" s="35"/>
      <c r="F20" s="35"/>
      <c r="G20" s="35"/>
      <c r="H20" s="35"/>
      <c r="I20" s="35"/>
      <c r="J20" s="35"/>
      <c r="K20" s="35"/>
      <c r="L20" s="35"/>
      <c r="M20" s="35"/>
      <c r="N20" s="35"/>
      <c r="O20" s="35"/>
      <c r="P20" s="35"/>
      <c r="Q20" s="35"/>
      <c r="R20" s="35"/>
      <c r="S20" s="35"/>
      <c r="T20" s="38"/>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6"/>
    </row>
    <row r="21" spans="1:72" ht="18" customHeight="1">
      <c r="A21" s="137" t="s">
        <v>590</v>
      </c>
      <c r="B21" s="37"/>
      <c r="C21" s="35"/>
      <c r="D21" s="35"/>
      <c r="E21" s="35"/>
      <c r="F21" s="35"/>
      <c r="G21" s="35"/>
      <c r="H21" s="35"/>
      <c r="I21" s="35"/>
      <c r="J21" s="35"/>
      <c r="K21" s="35"/>
      <c r="L21" s="35"/>
      <c r="M21" s="35"/>
      <c r="N21" s="35"/>
      <c r="O21" s="35"/>
      <c r="P21" s="35"/>
      <c r="Q21" s="35"/>
      <c r="R21" s="35"/>
      <c r="S21" s="35"/>
      <c r="T21" s="35"/>
      <c r="U21" s="38"/>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6"/>
    </row>
    <row r="22" spans="1:72" ht="18" customHeight="1">
      <c r="A22" s="137" t="s">
        <v>591</v>
      </c>
      <c r="B22" s="37"/>
      <c r="C22" s="35"/>
      <c r="D22" s="35"/>
      <c r="E22" s="35"/>
      <c r="F22" s="35"/>
      <c r="G22" s="35"/>
      <c r="H22" s="35"/>
      <c r="I22" s="35"/>
      <c r="J22" s="35"/>
      <c r="K22" s="35"/>
      <c r="L22" s="35"/>
      <c r="M22" s="35"/>
      <c r="N22" s="35"/>
      <c r="O22" s="35"/>
      <c r="P22" s="35"/>
      <c r="Q22" s="35"/>
      <c r="R22" s="35"/>
      <c r="S22" s="35"/>
      <c r="T22" s="35"/>
      <c r="U22" s="35"/>
      <c r="V22" s="38"/>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6"/>
    </row>
    <row r="23" spans="1:72" ht="18" customHeight="1">
      <c r="A23" s="137" t="s">
        <v>592</v>
      </c>
      <c r="B23" s="37"/>
      <c r="C23" s="35"/>
      <c r="D23" s="35"/>
      <c r="E23" s="35"/>
      <c r="F23" s="35"/>
      <c r="G23" s="35"/>
      <c r="H23" s="35"/>
      <c r="I23" s="35"/>
      <c r="J23" s="35"/>
      <c r="K23" s="35"/>
      <c r="L23" s="35"/>
      <c r="M23" s="35"/>
      <c r="N23" s="35"/>
      <c r="O23" s="35"/>
      <c r="P23" s="35"/>
      <c r="Q23" s="35"/>
      <c r="R23" s="35"/>
      <c r="S23" s="35"/>
      <c r="T23" s="35"/>
      <c r="U23" s="35"/>
      <c r="V23" s="35"/>
      <c r="W23" s="38"/>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6"/>
    </row>
    <row r="24" spans="1:72" ht="18" customHeight="1">
      <c r="A24" s="137" t="s">
        <v>593</v>
      </c>
      <c r="B24" s="37"/>
      <c r="C24" s="35"/>
      <c r="D24" s="35"/>
      <c r="E24" s="35"/>
      <c r="F24" s="35"/>
      <c r="G24" s="35"/>
      <c r="H24" s="35"/>
      <c r="I24" s="35"/>
      <c r="J24" s="35"/>
      <c r="K24" s="35"/>
      <c r="L24" s="35"/>
      <c r="M24" s="35"/>
      <c r="N24" s="35"/>
      <c r="O24" s="35"/>
      <c r="P24" s="35"/>
      <c r="Q24" s="35"/>
      <c r="R24" s="35"/>
      <c r="S24" s="35"/>
      <c r="T24" s="35"/>
      <c r="U24" s="35"/>
      <c r="V24" s="35"/>
      <c r="W24" s="35"/>
      <c r="X24" s="38"/>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6"/>
    </row>
    <row r="25" spans="1:72" ht="18" customHeight="1">
      <c r="A25" s="137" t="s">
        <v>594</v>
      </c>
      <c r="B25" s="37"/>
      <c r="C25" s="35"/>
      <c r="D25" s="35"/>
      <c r="E25" s="35"/>
      <c r="F25" s="35"/>
      <c r="G25" s="35"/>
      <c r="H25" s="35"/>
      <c r="I25" s="35"/>
      <c r="J25" s="35"/>
      <c r="K25" s="35"/>
      <c r="L25" s="35"/>
      <c r="M25" s="35"/>
      <c r="N25" s="35"/>
      <c r="O25" s="35"/>
      <c r="P25" s="35"/>
      <c r="Q25" s="35"/>
      <c r="R25" s="35"/>
      <c r="S25" s="35"/>
      <c r="T25" s="35"/>
      <c r="U25" s="35"/>
      <c r="V25" s="35"/>
      <c r="W25" s="35"/>
      <c r="X25" s="35"/>
      <c r="Y25" s="38"/>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6"/>
    </row>
    <row r="26" spans="1:72" ht="18" customHeight="1">
      <c r="A26" s="137" t="s">
        <v>595</v>
      </c>
      <c r="B26" s="37"/>
      <c r="C26" s="35"/>
      <c r="D26" s="35"/>
      <c r="E26" s="35"/>
      <c r="F26" s="35"/>
      <c r="G26" s="35"/>
      <c r="H26" s="35"/>
      <c r="I26" s="35"/>
      <c r="J26" s="35"/>
      <c r="K26" s="35"/>
      <c r="L26" s="35"/>
      <c r="M26" s="35"/>
      <c r="N26" s="35"/>
      <c r="O26" s="35"/>
      <c r="P26" s="35"/>
      <c r="Q26" s="35"/>
      <c r="R26" s="35"/>
      <c r="S26" s="35"/>
      <c r="T26" s="35"/>
      <c r="U26" s="35"/>
      <c r="V26" s="35"/>
      <c r="W26" s="35"/>
      <c r="X26" s="35"/>
      <c r="Y26" s="35"/>
      <c r="Z26" s="38"/>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6"/>
    </row>
    <row r="27" spans="1:72" ht="18" customHeight="1">
      <c r="A27" s="137" t="s">
        <v>596</v>
      </c>
      <c r="B27" s="37"/>
      <c r="C27" s="35"/>
      <c r="D27" s="35"/>
      <c r="E27" s="35"/>
      <c r="F27" s="35"/>
      <c r="G27" s="35"/>
      <c r="H27" s="35"/>
      <c r="I27" s="35"/>
      <c r="J27" s="35"/>
      <c r="K27" s="35"/>
      <c r="L27" s="35"/>
      <c r="M27" s="35"/>
      <c r="N27" s="35"/>
      <c r="O27" s="35"/>
      <c r="P27" s="35"/>
      <c r="Q27" s="35"/>
      <c r="R27" s="35"/>
      <c r="S27" s="35"/>
      <c r="T27" s="35"/>
      <c r="U27" s="35"/>
      <c r="V27" s="35"/>
      <c r="W27" s="35"/>
      <c r="X27" s="35"/>
      <c r="Y27" s="35"/>
      <c r="Z27" s="35"/>
      <c r="AA27" s="38"/>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6"/>
    </row>
    <row r="28" spans="1:72" ht="18" customHeight="1">
      <c r="A28" s="137" t="s">
        <v>597</v>
      </c>
      <c r="B28" s="37"/>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8"/>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6"/>
    </row>
    <row r="29" spans="1:72" ht="18" customHeight="1">
      <c r="A29" s="137" t="s">
        <v>598</v>
      </c>
      <c r="B29" s="37"/>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8"/>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6"/>
    </row>
    <row r="30" spans="1:72" ht="18" customHeight="1">
      <c r="A30" s="137" t="s">
        <v>599</v>
      </c>
      <c r="B30" s="37"/>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8"/>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6"/>
    </row>
    <row r="31" spans="1:72" ht="18" customHeight="1">
      <c r="A31" s="137" t="s">
        <v>600</v>
      </c>
      <c r="B31" s="37"/>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8"/>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6"/>
    </row>
    <row r="32" spans="1:72" ht="18" customHeight="1">
      <c r="A32" s="137" t="s">
        <v>601</v>
      </c>
      <c r="B32" s="37"/>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8"/>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6"/>
    </row>
    <row r="33" spans="1:72" ht="18" customHeight="1">
      <c r="A33" s="137" t="s">
        <v>602</v>
      </c>
      <c r="B33" s="37"/>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8"/>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6"/>
    </row>
    <row r="34" spans="1:72" ht="18" customHeight="1">
      <c r="A34" s="137" t="s">
        <v>603</v>
      </c>
      <c r="B34" s="37"/>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8"/>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35"/>
      <c r="BQ34" s="35"/>
      <c r="BR34" s="35"/>
      <c r="BS34" s="35"/>
      <c r="BT34" s="36"/>
    </row>
    <row r="35" spans="1:72" ht="18" customHeight="1">
      <c r="A35" s="137" t="s">
        <v>604</v>
      </c>
      <c r="B35" s="37"/>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8"/>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6"/>
    </row>
    <row r="36" spans="1:72" ht="18" customHeight="1">
      <c r="A36" s="137" t="s">
        <v>605</v>
      </c>
      <c r="B36" s="37"/>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8"/>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35"/>
      <c r="BQ36" s="35"/>
      <c r="BR36" s="35"/>
      <c r="BS36" s="35"/>
      <c r="BT36" s="36"/>
    </row>
    <row r="37" spans="1:72" ht="18" customHeight="1">
      <c r="A37" s="137" t="s">
        <v>606</v>
      </c>
      <c r="B37" s="37"/>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8"/>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6"/>
    </row>
    <row r="38" spans="1:72" ht="18" customHeight="1">
      <c r="A38" s="137" t="s">
        <v>607</v>
      </c>
      <c r="B38" s="37"/>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8"/>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6"/>
    </row>
    <row r="39" spans="1:72" ht="18" customHeight="1">
      <c r="A39" s="137" t="s">
        <v>608</v>
      </c>
      <c r="B39" s="37"/>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8"/>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6"/>
    </row>
    <row r="40" spans="1:72" ht="18" customHeight="1">
      <c r="A40" s="137" t="s">
        <v>609</v>
      </c>
      <c r="B40" s="37"/>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8"/>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6"/>
    </row>
    <row r="41" spans="1:72" ht="18" customHeight="1">
      <c r="A41" s="137" t="s">
        <v>610</v>
      </c>
      <c r="B41" s="37"/>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8"/>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6"/>
    </row>
    <row r="42" spans="1:72" ht="18" customHeight="1">
      <c r="A42" s="137" t="s">
        <v>611</v>
      </c>
      <c r="B42" s="37"/>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8"/>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6"/>
    </row>
    <row r="43" spans="1:72" ht="18" customHeight="1">
      <c r="A43" s="137" t="s">
        <v>612</v>
      </c>
      <c r="B43" s="37"/>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8"/>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6"/>
    </row>
    <row r="44" spans="1:72" ht="18" customHeight="1">
      <c r="A44" s="137" t="s">
        <v>613</v>
      </c>
      <c r="B44" s="37"/>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8"/>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6"/>
    </row>
    <row r="45" spans="1:72" ht="18" customHeight="1">
      <c r="A45" s="137" t="s">
        <v>614</v>
      </c>
      <c r="B45" s="37"/>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8"/>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6"/>
    </row>
    <row r="46" spans="1:72" ht="18" customHeight="1">
      <c r="A46" s="137" t="s">
        <v>615</v>
      </c>
      <c r="B46" s="37"/>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8"/>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6"/>
    </row>
    <row r="47" spans="1:72" ht="18" customHeight="1">
      <c r="A47" s="137" t="s">
        <v>616</v>
      </c>
      <c r="B47" s="37"/>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8"/>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6"/>
    </row>
    <row r="48" spans="1:72" ht="18" customHeight="1">
      <c r="A48" s="137" t="s">
        <v>617</v>
      </c>
      <c r="B48" s="37"/>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8"/>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6"/>
    </row>
    <row r="49" spans="1:72" ht="18" customHeight="1">
      <c r="A49" s="137" t="s">
        <v>618</v>
      </c>
      <c r="B49" s="37"/>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8"/>
      <c r="AX49" s="35"/>
      <c r="AY49" s="35"/>
      <c r="AZ49" s="35"/>
      <c r="BA49" s="35"/>
      <c r="BB49" s="35"/>
      <c r="BC49" s="35"/>
      <c r="BD49" s="35"/>
      <c r="BE49" s="35"/>
      <c r="BF49" s="35"/>
      <c r="BG49" s="35"/>
      <c r="BH49" s="35"/>
      <c r="BI49" s="35"/>
      <c r="BJ49" s="35"/>
      <c r="BK49" s="35"/>
      <c r="BL49" s="35"/>
      <c r="BM49" s="35"/>
      <c r="BN49" s="35"/>
      <c r="BO49" s="35"/>
      <c r="BP49" s="35"/>
      <c r="BQ49" s="35"/>
      <c r="BR49" s="35"/>
      <c r="BS49" s="35"/>
      <c r="BT49" s="36"/>
    </row>
    <row r="50" spans="1:72" ht="18" customHeight="1">
      <c r="A50" s="137" t="s">
        <v>619</v>
      </c>
      <c r="B50" s="37"/>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8"/>
      <c r="AY50" s="35"/>
      <c r="AZ50" s="35"/>
      <c r="BA50" s="35"/>
      <c r="BB50" s="35"/>
      <c r="BC50" s="35"/>
      <c r="BD50" s="35"/>
      <c r="BE50" s="35"/>
      <c r="BF50" s="35"/>
      <c r="BG50" s="35"/>
      <c r="BH50" s="35"/>
      <c r="BI50" s="35"/>
      <c r="BJ50" s="35"/>
      <c r="BK50" s="35"/>
      <c r="BL50" s="35"/>
      <c r="BM50" s="35"/>
      <c r="BN50" s="35"/>
      <c r="BO50" s="35"/>
      <c r="BP50" s="35"/>
      <c r="BQ50" s="35"/>
      <c r="BR50" s="35"/>
      <c r="BS50" s="35"/>
      <c r="BT50" s="36"/>
    </row>
    <row r="51" spans="1:72" ht="18" customHeight="1">
      <c r="A51" s="137" t="s">
        <v>620</v>
      </c>
      <c r="B51" s="37"/>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8"/>
      <c r="AZ51" s="35"/>
      <c r="BA51" s="35"/>
      <c r="BB51" s="35"/>
      <c r="BC51" s="35"/>
      <c r="BD51" s="35"/>
      <c r="BE51" s="35"/>
      <c r="BF51" s="35"/>
      <c r="BG51" s="35"/>
      <c r="BH51" s="35"/>
      <c r="BI51" s="35"/>
      <c r="BJ51" s="35"/>
      <c r="BK51" s="35"/>
      <c r="BL51" s="35"/>
      <c r="BM51" s="35"/>
      <c r="BN51" s="35"/>
      <c r="BO51" s="35"/>
      <c r="BP51" s="35"/>
      <c r="BQ51" s="35"/>
      <c r="BR51" s="35"/>
      <c r="BS51" s="35"/>
      <c r="BT51" s="36"/>
    </row>
    <row r="52" spans="1:72" ht="18" customHeight="1">
      <c r="A52" s="137" t="s">
        <v>621</v>
      </c>
      <c r="B52" s="37"/>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8"/>
      <c r="BA52" s="35"/>
      <c r="BB52" s="35"/>
      <c r="BC52" s="35"/>
      <c r="BD52" s="35"/>
      <c r="BE52" s="35"/>
      <c r="BF52" s="35"/>
      <c r="BG52" s="35"/>
      <c r="BH52" s="35"/>
      <c r="BI52" s="35"/>
      <c r="BJ52" s="35"/>
      <c r="BK52" s="35"/>
      <c r="BL52" s="35"/>
      <c r="BM52" s="35"/>
      <c r="BN52" s="35"/>
      <c r="BO52" s="35"/>
      <c r="BP52" s="35"/>
      <c r="BQ52" s="35"/>
      <c r="BR52" s="35"/>
      <c r="BS52" s="35"/>
      <c r="BT52" s="36"/>
    </row>
    <row r="53" spans="1:72" ht="18" customHeight="1">
      <c r="A53" s="137" t="s">
        <v>622</v>
      </c>
      <c r="B53" s="37"/>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8"/>
      <c r="BB53" s="35"/>
      <c r="BC53" s="35"/>
      <c r="BD53" s="35"/>
      <c r="BE53" s="35"/>
      <c r="BF53" s="35"/>
      <c r="BG53" s="35"/>
      <c r="BH53" s="35"/>
      <c r="BI53" s="35"/>
      <c r="BJ53" s="35"/>
      <c r="BK53" s="35"/>
      <c r="BL53" s="35"/>
      <c r="BM53" s="35"/>
      <c r="BN53" s="35"/>
      <c r="BO53" s="35"/>
      <c r="BP53" s="35"/>
      <c r="BQ53" s="35"/>
      <c r="BR53" s="35"/>
      <c r="BS53" s="35"/>
      <c r="BT53" s="36"/>
    </row>
    <row r="54" spans="1:72" ht="18" customHeight="1">
      <c r="A54" s="137" t="s">
        <v>623</v>
      </c>
      <c r="B54" s="37"/>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8"/>
      <c r="BC54" s="35"/>
      <c r="BD54" s="35"/>
      <c r="BE54" s="35"/>
      <c r="BF54" s="35"/>
      <c r="BG54" s="35"/>
      <c r="BH54" s="35"/>
      <c r="BI54" s="35"/>
      <c r="BJ54" s="35"/>
      <c r="BK54" s="35"/>
      <c r="BL54" s="35"/>
      <c r="BM54" s="35"/>
      <c r="BN54" s="35"/>
      <c r="BO54" s="35"/>
      <c r="BP54" s="35"/>
      <c r="BQ54" s="35"/>
      <c r="BR54" s="35"/>
      <c r="BS54" s="35"/>
      <c r="BT54" s="36"/>
    </row>
    <row r="55" spans="1:72" ht="18" customHeight="1">
      <c r="A55" s="137" t="s">
        <v>624</v>
      </c>
      <c r="B55" s="37"/>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8"/>
      <c r="BD55" s="35"/>
      <c r="BE55" s="35"/>
      <c r="BF55" s="35"/>
      <c r="BG55" s="35"/>
      <c r="BH55" s="35"/>
      <c r="BI55" s="35"/>
      <c r="BJ55" s="35"/>
      <c r="BK55" s="35"/>
      <c r="BL55" s="35"/>
      <c r="BM55" s="35"/>
      <c r="BN55" s="35"/>
      <c r="BO55" s="35"/>
      <c r="BP55" s="35"/>
      <c r="BQ55" s="35"/>
      <c r="BR55" s="35"/>
      <c r="BS55" s="35"/>
      <c r="BT55" s="36"/>
    </row>
    <row r="56" spans="1:72" ht="18" customHeight="1">
      <c r="A56" s="137" t="s">
        <v>625</v>
      </c>
      <c r="B56" s="37"/>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8"/>
      <c r="BE56" s="35"/>
      <c r="BF56" s="35"/>
      <c r="BG56" s="35"/>
      <c r="BH56" s="35"/>
      <c r="BI56" s="35"/>
      <c r="BJ56" s="35"/>
      <c r="BK56" s="35"/>
      <c r="BL56" s="35"/>
      <c r="BM56" s="35"/>
      <c r="BN56" s="35"/>
      <c r="BO56" s="35"/>
      <c r="BP56" s="35"/>
      <c r="BQ56" s="35"/>
      <c r="BR56" s="35"/>
      <c r="BS56" s="35"/>
      <c r="BT56" s="36"/>
    </row>
    <row r="57" spans="1:72" ht="18" customHeight="1">
      <c r="A57" s="137" t="s">
        <v>626</v>
      </c>
      <c r="B57" s="37"/>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8"/>
      <c r="BF57" s="35"/>
      <c r="BG57" s="35"/>
      <c r="BH57" s="35"/>
      <c r="BI57" s="35"/>
      <c r="BJ57" s="35"/>
      <c r="BK57" s="35"/>
      <c r="BL57" s="35"/>
      <c r="BM57" s="35"/>
      <c r="BN57" s="35"/>
      <c r="BO57" s="35"/>
      <c r="BP57" s="35"/>
      <c r="BQ57" s="35"/>
      <c r="BR57" s="35"/>
      <c r="BS57" s="35"/>
      <c r="BT57" s="36"/>
    </row>
    <row r="58" spans="1:72" ht="18" customHeight="1">
      <c r="A58" s="137" t="s">
        <v>627</v>
      </c>
      <c r="B58" s="37"/>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8"/>
      <c r="BG58" s="35"/>
      <c r="BH58" s="35"/>
      <c r="BI58" s="35"/>
      <c r="BJ58" s="35"/>
      <c r="BK58" s="35"/>
      <c r="BL58" s="35"/>
      <c r="BM58" s="35"/>
      <c r="BN58" s="35"/>
      <c r="BO58" s="35"/>
      <c r="BP58" s="35"/>
      <c r="BQ58" s="35"/>
      <c r="BR58" s="35"/>
      <c r="BS58" s="35"/>
      <c r="BT58" s="36"/>
    </row>
    <row r="59" spans="1:72" ht="18" customHeight="1">
      <c r="A59" s="137" t="s">
        <v>628</v>
      </c>
      <c r="B59" s="37"/>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8"/>
      <c r="BH59" s="35"/>
      <c r="BI59" s="35"/>
      <c r="BJ59" s="35"/>
      <c r="BK59" s="35"/>
      <c r="BL59" s="35"/>
      <c r="BM59" s="35"/>
      <c r="BN59" s="35"/>
      <c r="BO59" s="35"/>
      <c r="BP59" s="35"/>
      <c r="BQ59" s="35"/>
      <c r="BR59" s="35"/>
      <c r="BS59" s="35"/>
      <c r="BT59" s="36"/>
    </row>
    <row r="60" spans="1:72" ht="18" customHeight="1">
      <c r="A60" s="137" t="s">
        <v>196</v>
      </c>
      <c r="B60" s="37"/>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8"/>
      <c r="BI60" s="35"/>
      <c r="BJ60" s="35"/>
      <c r="BK60" s="35"/>
      <c r="BL60" s="35"/>
      <c r="BM60" s="35"/>
      <c r="BN60" s="35"/>
      <c r="BO60" s="35"/>
      <c r="BP60" s="35"/>
      <c r="BQ60" s="35"/>
      <c r="BR60" s="35"/>
      <c r="BS60" s="35"/>
      <c r="BT60" s="36"/>
    </row>
    <row r="61" spans="1:72" ht="18" customHeight="1">
      <c r="A61" s="137" t="s">
        <v>629</v>
      </c>
      <c r="B61" s="37"/>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8"/>
      <c r="BJ61" s="35"/>
      <c r="BK61" s="35"/>
      <c r="BL61" s="35"/>
      <c r="BM61" s="35"/>
      <c r="BN61" s="35"/>
      <c r="BO61" s="35"/>
      <c r="BP61" s="35"/>
      <c r="BQ61" s="35"/>
      <c r="BR61" s="35"/>
      <c r="BS61" s="35"/>
      <c r="BT61" s="36"/>
    </row>
    <row r="62" spans="1:72" ht="18" customHeight="1">
      <c r="A62" s="137" t="s">
        <v>630</v>
      </c>
      <c r="B62" s="37"/>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8"/>
      <c r="BK62" s="35"/>
      <c r="BL62" s="35"/>
      <c r="BM62" s="35"/>
      <c r="BN62" s="35"/>
      <c r="BO62" s="35"/>
      <c r="BP62" s="35"/>
      <c r="BQ62" s="35"/>
      <c r="BR62" s="35"/>
      <c r="BS62" s="35"/>
      <c r="BT62" s="36"/>
    </row>
    <row r="63" spans="1:72" ht="18" customHeight="1">
      <c r="A63" s="137" t="s">
        <v>631</v>
      </c>
      <c r="B63" s="37"/>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8"/>
      <c r="BL63" s="35"/>
      <c r="BM63" s="35"/>
      <c r="BN63" s="35"/>
      <c r="BO63" s="35"/>
      <c r="BP63" s="35"/>
      <c r="BQ63" s="35"/>
      <c r="BR63" s="35"/>
      <c r="BS63" s="35"/>
      <c r="BT63" s="36"/>
    </row>
    <row r="64" spans="1:72" ht="18" customHeight="1">
      <c r="A64" s="137" t="s">
        <v>632</v>
      </c>
      <c r="B64" s="37"/>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8"/>
      <c r="BM64" s="35"/>
      <c r="BN64" s="35"/>
      <c r="BO64" s="35"/>
      <c r="BP64" s="35"/>
      <c r="BQ64" s="35"/>
      <c r="BR64" s="35"/>
      <c r="BS64" s="35"/>
      <c r="BT64" s="36"/>
    </row>
    <row r="65" spans="1:72" ht="18" customHeight="1">
      <c r="A65" s="137" t="s">
        <v>200</v>
      </c>
      <c r="B65" s="37"/>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8"/>
      <c r="BN65" s="35"/>
      <c r="BO65" s="35"/>
      <c r="BP65" s="35"/>
      <c r="BQ65" s="35"/>
      <c r="BR65" s="35"/>
      <c r="BS65" s="35"/>
      <c r="BT65" s="36"/>
    </row>
    <row r="66" spans="1:72" ht="18" customHeight="1">
      <c r="A66" s="137" t="s">
        <v>633</v>
      </c>
      <c r="B66" s="37"/>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8"/>
      <c r="BO66" s="35"/>
      <c r="BP66" s="35"/>
      <c r="BQ66" s="35"/>
      <c r="BR66" s="35"/>
      <c r="BS66" s="35"/>
      <c r="BT66" s="36"/>
    </row>
    <row r="67" spans="1:72" ht="18" customHeight="1">
      <c r="A67" s="137" t="s">
        <v>634</v>
      </c>
      <c r="B67" s="37"/>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8"/>
      <c r="BP67" s="35"/>
      <c r="BQ67" s="35"/>
      <c r="BR67" s="35"/>
      <c r="BS67" s="35"/>
      <c r="BT67" s="36"/>
    </row>
    <row r="68" spans="1:72" ht="18" customHeight="1">
      <c r="A68" s="137" t="s">
        <v>635</v>
      </c>
      <c r="B68" s="37"/>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8"/>
      <c r="BQ68" s="35"/>
      <c r="BR68" s="35"/>
      <c r="BS68" s="35"/>
      <c r="BT68" s="36"/>
    </row>
    <row r="69" spans="1:72" ht="18" customHeight="1">
      <c r="A69" s="137" t="s">
        <v>636</v>
      </c>
      <c r="B69" s="37"/>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8"/>
      <c r="BR69" s="35"/>
      <c r="BS69" s="35"/>
      <c r="BT69" s="36"/>
    </row>
    <row r="70" spans="1:72" ht="18" customHeight="1">
      <c r="A70" s="137" t="s">
        <v>637</v>
      </c>
      <c r="B70" s="37"/>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8"/>
      <c r="BS70" s="35"/>
      <c r="BT70" s="36"/>
    </row>
    <row r="71" spans="1:72" ht="18" customHeight="1">
      <c r="A71" s="137" t="s">
        <v>211</v>
      </c>
      <c r="B71" s="37"/>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8"/>
      <c r="BT71" s="36"/>
    </row>
    <row r="72" spans="1:72" ht="18" customHeight="1">
      <c r="A72" s="137" t="s">
        <v>638</v>
      </c>
      <c r="B72" s="37"/>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9"/>
    </row>
  </sheetData>
  <phoneticPr fontId="6"/>
  <pageMargins left="0.75" right="0.75" top="1" bottom="1" header="0.5" footer="0.5"/>
  <headerFooter>
    <oddHeader>&amp;C&amp;"Aptos"&amp;10&amp;K000000 PROTECTED 関係者外秘&amp;1#_x000D_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24650-54D5-42B6-A77B-C15A89A877B8}">
  <sheetPr>
    <tabColor rgb="FF70AD47"/>
  </sheetPr>
  <dimension ref="A1:H24"/>
  <sheetViews>
    <sheetView showGridLines="0" workbookViewId="0">
      <pane ySplit="1" topLeftCell="A5" activePane="bottomLeft" state="frozen"/>
      <selection pane="bottomLeft" activeCell="C3" sqref="C3"/>
    </sheetView>
  </sheetViews>
  <sheetFormatPr defaultRowHeight="18"/>
  <cols>
    <col min="1" max="1" width="12" style="40" customWidth="1"/>
    <col min="2" max="2" width="21.83203125" style="40" customWidth="1"/>
    <col min="3" max="3" width="31.33203125" style="40" customWidth="1"/>
    <col min="4" max="6" width="12" style="40" customWidth="1"/>
    <col min="7" max="7" width="75.5" style="40" customWidth="1"/>
    <col min="8" max="8" width="52.58203125" style="40" customWidth="1"/>
  </cols>
  <sheetData>
    <row r="1" spans="1:8">
      <c r="A1" s="33" t="s">
        <v>639</v>
      </c>
      <c r="B1" s="33" t="s">
        <v>640</v>
      </c>
      <c r="C1" s="33" t="s">
        <v>641</v>
      </c>
      <c r="D1" s="33" t="s">
        <v>642</v>
      </c>
      <c r="E1" s="33" t="s">
        <v>643</v>
      </c>
      <c r="F1" s="33" t="s">
        <v>644</v>
      </c>
      <c r="G1" s="33" t="s">
        <v>645</v>
      </c>
      <c r="H1" s="33" t="s">
        <v>14</v>
      </c>
    </row>
    <row r="2" spans="1:8">
      <c r="A2" s="41" t="s">
        <v>646</v>
      </c>
      <c r="B2" s="41" t="s">
        <v>18</v>
      </c>
      <c r="C2" s="41" t="s">
        <v>573</v>
      </c>
      <c r="D2" s="41" t="s">
        <v>647</v>
      </c>
      <c r="E2" s="41" t="s">
        <v>648</v>
      </c>
      <c r="F2" s="41" t="s">
        <v>649</v>
      </c>
      <c r="G2" s="41" t="s">
        <v>650</v>
      </c>
      <c r="H2" s="41"/>
    </row>
    <row r="3" spans="1:8" ht="36">
      <c r="A3" s="41" t="s">
        <v>651</v>
      </c>
      <c r="B3" s="41" t="s">
        <v>18</v>
      </c>
      <c r="C3" s="41" t="s">
        <v>574</v>
      </c>
      <c r="D3" s="41" t="s">
        <v>647</v>
      </c>
      <c r="E3" s="41" t="s">
        <v>648</v>
      </c>
      <c r="F3" s="41" t="s">
        <v>649</v>
      </c>
      <c r="G3" s="41" t="s">
        <v>652</v>
      </c>
      <c r="H3" s="41"/>
    </row>
    <row r="4" spans="1:8" ht="36">
      <c r="A4" s="41" t="s">
        <v>653</v>
      </c>
      <c r="B4" s="41" t="s">
        <v>18</v>
      </c>
      <c r="C4" s="41" t="s">
        <v>575</v>
      </c>
      <c r="D4" s="41" t="s">
        <v>647</v>
      </c>
      <c r="E4" s="41" t="s">
        <v>648</v>
      </c>
      <c r="F4" s="41" t="s">
        <v>649</v>
      </c>
      <c r="G4" s="41" t="s">
        <v>652</v>
      </c>
      <c r="H4" s="41"/>
    </row>
    <row r="5" spans="1:8" ht="36">
      <c r="A5" s="41" t="s">
        <v>654</v>
      </c>
      <c r="B5" s="41" t="s">
        <v>18</v>
      </c>
      <c r="C5" s="41" t="s">
        <v>576</v>
      </c>
      <c r="D5" s="41" t="s">
        <v>647</v>
      </c>
      <c r="E5" s="41" t="s">
        <v>648</v>
      </c>
      <c r="F5" s="41" t="s">
        <v>649</v>
      </c>
      <c r="G5" s="41" t="s">
        <v>652</v>
      </c>
      <c r="H5" s="41"/>
    </row>
    <row r="6" spans="1:8" ht="36">
      <c r="A6" s="41" t="s">
        <v>655</v>
      </c>
      <c r="B6" s="41" t="s">
        <v>18</v>
      </c>
      <c r="C6" s="41" t="s">
        <v>577</v>
      </c>
      <c r="D6" s="41" t="s">
        <v>647</v>
      </c>
      <c r="E6" s="41" t="s">
        <v>648</v>
      </c>
      <c r="F6" s="41" t="s">
        <v>649</v>
      </c>
      <c r="G6" s="41" t="s">
        <v>652</v>
      </c>
      <c r="H6" s="41"/>
    </row>
    <row r="7" spans="1:8" ht="36">
      <c r="A7" s="41" t="s">
        <v>656</v>
      </c>
      <c r="B7" s="41" t="s">
        <v>18</v>
      </c>
      <c r="C7" s="41" t="s">
        <v>608</v>
      </c>
      <c r="D7" s="41" t="s">
        <v>647</v>
      </c>
      <c r="E7" s="41" t="s">
        <v>648</v>
      </c>
      <c r="F7" s="41" t="s">
        <v>649</v>
      </c>
      <c r="G7" s="41" t="s">
        <v>652</v>
      </c>
      <c r="H7" s="41"/>
    </row>
    <row r="8" spans="1:8" ht="36">
      <c r="A8" s="41" t="s">
        <v>657</v>
      </c>
      <c r="B8" s="41" t="s">
        <v>18</v>
      </c>
      <c r="C8" s="41" t="s">
        <v>609</v>
      </c>
      <c r="D8" s="41" t="s">
        <v>647</v>
      </c>
      <c r="E8" s="41" t="s">
        <v>648</v>
      </c>
      <c r="F8" s="41" t="s">
        <v>649</v>
      </c>
      <c r="G8" s="41" t="s">
        <v>652</v>
      </c>
      <c r="H8" s="41"/>
    </row>
    <row r="9" spans="1:8" ht="36">
      <c r="A9" s="41" t="s">
        <v>658</v>
      </c>
      <c r="B9" s="41" t="s">
        <v>18</v>
      </c>
      <c r="C9" s="41" t="s">
        <v>610</v>
      </c>
      <c r="D9" s="41" t="s">
        <v>647</v>
      </c>
      <c r="E9" s="41" t="s">
        <v>648</v>
      </c>
      <c r="F9" s="41" t="s">
        <v>649</v>
      </c>
      <c r="G9" s="41" t="s">
        <v>652</v>
      </c>
      <c r="H9" s="41"/>
    </row>
    <row r="10" spans="1:8" ht="36">
      <c r="A10" s="41" t="s">
        <v>659</v>
      </c>
      <c r="B10" s="41" t="s">
        <v>99</v>
      </c>
      <c r="C10" s="41" t="s">
        <v>582</v>
      </c>
      <c r="D10" s="41" t="s">
        <v>647</v>
      </c>
      <c r="E10" s="41" t="s">
        <v>648</v>
      </c>
      <c r="F10" s="41" t="s">
        <v>649</v>
      </c>
      <c r="G10" s="41" t="s">
        <v>660</v>
      </c>
      <c r="H10" s="41"/>
    </row>
    <row r="11" spans="1:8" ht="36">
      <c r="A11" s="41" t="s">
        <v>661</v>
      </c>
      <c r="B11" s="41" t="s">
        <v>99</v>
      </c>
      <c r="C11" s="41" t="s">
        <v>583</v>
      </c>
      <c r="D11" s="41" t="s">
        <v>647</v>
      </c>
      <c r="E11" s="41" t="s">
        <v>648</v>
      </c>
      <c r="F11" s="41" t="s">
        <v>649</v>
      </c>
      <c r="G11" s="41" t="s">
        <v>660</v>
      </c>
      <c r="H11" s="41"/>
    </row>
    <row r="12" spans="1:8">
      <c r="A12" s="41" t="s">
        <v>662</v>
      </c>
      <c r="B12" s="41" t="s">
        <v>99</v>
      </c>
      <c r="C12" s="41" t="s">
        <v>584</v>
      </c>
      <c r="D12" s="41" t="s">
        <v>647</v>
      </c>
      <c r="E12" s="41" t="s">
        <v>648</v>
      </c>
      <c r="F12" s="41" t="s">
        <v>649</v>
      </c>
      <c r="G12" s="41" t="s">
        <v>650</v>
      </c>
      <c r="H12" s="41"/>
    </row>
    <row r="13" spans="1:8" ht="36">
      <c r="A13" s="41" t="s">
        <v>663</v>
      </c>
      <c r="B13" s="41" t="s">
        <v>99</v>
      </c>
      <c r="C13" s="41" t="s">
        <v>585</v>
      </c>
      <c r="D13" s="41" t="s">
        <v>647</v>
      </c>
      <c r="E13" s="41" t="s">
        <v>648</v>
      </c>
      <c r="F13" s="41" t="s">
        <v>649</v>
      </c>
      <c r="G13" s="41" t="s">
        <v>660</v>
      </c>
      <c r="H13" s="41"/>
    </row>
    <row r="14" spans="1:8" ht="36">
      <c r="A14" s="41" t="s">
        <v>664</v>
      </c>
      <c r="B14" s="41" t="s">
        <v>99</v>
      </c>
      <c r="C14" s="41" t="s">
        <v>586</v>
      </c>
      <c r="D14" s="41" t="s">
        <v>647</v>
      </c>
      <c r="E14" s="41" t="s">
        <v>648</v>
      </c>
      <c r="F14" s="41" t="s">
        <v>649</v>
      </c>
      <c r="G14" s="41" t="s">
        <v>660</v>
      </c>
      <c r="H14" s="41"/>
    </row>
    <row r="15" spans="1:8" ht="36">
      <c r="A15" s="41" t="s">
        <v>665</v>
      </c>
      <c r="B15" s="41" t="s">
        <v>99</v>
      </c>
      <c r="C15" s="41" t="s">
        <v>589</v>
      </c>
      <c r="D15" s="41" t="s">
        <v>647</v>
      </c>
      <c r="E15" s="41" t="s">
        <v>648</v>
      </c>
      <c r="F15" s="41" t="s">
        <v>649</v>
      </c>
      <c r="G15" s="41" t="s">
        <v>660</v>
      </c>
      <c r="H15" s="41"/>
    </row>
    <row r="16" spans="1:8" ht="36">
      <c r="A16" s="41" t="s">
        <v>666</v>
      </c>
      <c r="B16" s="41" t="s">
        <v>175</v>
      </c>
      <c r="C16" s="41" t="s">
        <v>619</v>
      </c>
      <c r="D16" s="41" t="s">
        <v>647</v>
      </c>
      <c r="E16" s="41" t="s">
        <v>648</v>
      </c>
      <c r="F16" s="41" t="s">
        <v>649</v>
      </c>
      <c r="G16" s="41" t="s">
        <v>667</v>
      </c>
      <c r="H16" s="41"/>
    </row>
    <row r="17" spans="1:8" ht="36">
      <c r="A17" s="41" t="s">
        <v>668</v>
      </c>
      <c r="B17" s="41" t="s">
        <v>175</v>
      </c>
      <c r="C17" s="41" t="s">
        <v>620</v>
      </c>
      <c r="D17" s="41" t="s">
        <v>647</v>
      </c>
      <c r="E17" s="41" t="s">
        <v>648</v>
      </c>
      <c r="F17" s="41" t="s">
        <v>649</v>
      </c>
      <c r="G17" s="41" t="s">
        <v>667</v>
      </c>
      <c r="H17" s="41"/>
    </row>
    <row r="18" spans="1:8" ht="36">
      <c r="A18" s="41" t="s">
        <v>669</v>
      </c>
      <c r="B18" s="41" t="s">
        <v>175</v>
      </c>
      <c r="C18" s="41" t="s">
        <v>621</v>
      </c>
      <c r="D18" s="41" t="s">
        <v>647</v>
      </c>
      <c r="E18" s="41" t="s">
        <v>648</v>
      </c>
      <c r="F18" s="41" t="s">
        <v>649</v>
      </c>
      <c r="G18" s="41" t="s">
        <v>667</v>
      </c>
      <c r="H18" s="41"/>
    </row>
    <row r="19" spans="1:8">
      <c r="A19" s="41" t="s">
        <v>670</v>
      </c>
      <c r="B19" s="41" t="s">
        <v>196</v>
      </c>
      <c r="C19" s="41" t="s">
        <v>629</v>
      </c>
      <c r="D19" s="41" t="s">
        <v>647</v>
      </c>
      <c r="E19" s="41" t="s">
        <v>648</v>
      </c>
      <c r="F19" s="41" t="s">
        <v>649</v>
      </c>
      <c r="G19" s="41" t="s">
        <v>671</v>
      </c>
      <c r="H19" s="41"/>
    </row>
    <row r="20" spans="1:8">
      <c r="A20" s="41" t="s">
        <v>672</v>
      </c>
      <c r="B20" s="41" t="s">
        <v>196</v>
      </c>
      <c r="C20" s="41" t="s">
        <v>630</v>
      </c>
      <c r="D20" s="41" t="s">
        <v>647</v>
      </c>
      <c r="E20" s="41" t="s">
        <v>648</v>
      </c>
      <c r="F20" s="41" t="s">
        <v>649</v>
      </c>
      <c r="G20" s="41" t="s">
        <v>671</v>
      </c>
      <c r="H20" s="41"/>
    </row>
    <row r="21" spans="1:8">
      <c r="A21" s="41" t="s">
        <v>673</v>
      </c>
      <c r="B21" s="41" t="s">
        <v>196</v>
      </c>
      <c r="C21" s="41" t="s">
        <v>631</v>
      </c>
      <c r="D21" s="41" t="s">
        <v>647</v>
      </c>
      <c r="E21" s="41" t="s">
        <v>648</v>
      </c>
      <c r="F21" s="41" t="s">
        <v>649</v>
      </c>
      <c r="G21" s="41" t="s">
        <v>671</v>
      </c>
      <c r="H21" s="41"/>
    </row>
    <row r="22" spans="1:8">
      <c r="A22" s="41" t="s">
        <v>674</v>
      </c>
      <c r="B22" s="41" t="s">
        <v>196</v>
      </c>
      <c r="C22" s="41" t="s">
        <v>632</v>
      </c>
      <c r="D22" s="41" t="s">
        <v>647</v>
      </c>
      <c r="E22" s="41" t="s">
        <v>648</v>
      </c>
      <c r="F22" s="41" t="s">
        <v>649</v>
      </c>
      <c r="G22" s="41" t="s">
        <v>671</v>
      </c>
      <c r="H22" s="41"/>
    </row>
    <row r="23" spans="1:8">
      <c r="A23" s="41" t="s">
        <v>675</v>
      </c>
      <c r="B23" s="41" t="s">
        <v>200</v>
      </c>
      <c r="C23" s="41" t="s">
        <v>633</v>
      </c>
      <c r="D23" s="41" t="s">
        <v>647</v>
      </c>
      <c r="E23" s="41" t="s">
        <v>648</v>
      </c>
      <c r="F23" s="41" t="s">
        <v>649</v>
      </c>
      <c r="G23" s="41" t="s">
        <v>671</v>
      </c>
      <c r="H23" s="41"/>
    </row>
    <row r="24" spans="1:8">
      <c r="A24" s="41" t="s">
        <v>676</v>
      </c>
      <c r="B24" s="41" t="s">
        <v>211</v>
      </c>
      <c r="C24" s="41" t="s">
        <v>638</v>
      </c>
      <c r="D24" s="41" t="s">
        <v>647</v>
      </c>
      <c r="E24" s="41" t="s">
        <v>648</v>
      </c>
      <c r="F24" s="41" t="s">
        <v>649</v>
      </c>
      <c r="G24" s="41" t="s">
        <v>671</v>
      </c>
      <c r="H24" s="41"/>
    </row>
  </sheetData>
  <phoneticPr fontId="6"/>
  <dataValidations count="1">
    <dataValidation type="list" allowBlank="1" sqref="D2:D200 G4:G200" xr:uid="{1E9DCD7B-3D52-42E0-91C0-CF4356B7B112}">
      <formula1>"+,-,その他"</formula1>
    </dataValidation>
  </dataValidations>
  <pageMargins left="0.75" right="0.75" top="1" bottom="1" header="0.5" footer="0.5"/>
  <headerFooter>
    <oddHeader>&amp;C&amp;"Aptos"&amp;10&amp;K000000 PROTECTED 関係者外秘&amp;1#_x000D_</oddHead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D8CC3-09DC-41D2-853E-D07AC9D0E136}">
  <sheetPr>
    <tabColor rgb="FFFFC000"/>
  </sheetPr>
  <dimension ref="A1:L65"/>
  <sheetViews>
    <sheetView showGridLines="0" topLeftCell="A15" zoomScaleNormal="100" workbookViewId="0">
      <selection activeCell="F23" sqref="F23"/>
    </sheetView>
  </sheetViews>
  <sheetFormatPr defaultRowHeight="18"/>
  <cols>
    <col min="1" max="1" width="14.83203125" style="40" customWidth="1"/>
    <col min="2" max="2" width="12" style="40" customWidth="1"/>
    <col min="3" max="4" width="42" style="40" customWidth="1"/>
    <col min="5" max="5" width="21.33203125" style="40" bestFit="1" customWidth="1"/>
    <col min="6" max="6" width="19.33203125" style="40" customWidth="1"/>
    <col min="7" max="7" width="18.33203125" style="40" customWidth="1"/>
    <col min="8" max="8" width="21.25" style="40" customWidth="1"/>
    <col min="9" max="9" width="12" style="40" customWidth="1"/>
    <col min="10" max="10" width="42" style="40" customWidth="1"/>
    <col min="11" max="11" width="12" style="40" customWidth="1"/>
  </cols>
  <sheetData>
    <row r="1" spans="1:12" ht="31.5" customHeight="1">
      <c r="A1" s="162" t="s">
        <v>677</v>
      </c>
      <c r="B1" s="163"/>
      <c r="C1" s="163"/>
      <c r="D1" s="163"/>
      <c r="E1" s="163"/>
      <c r="F1" s="163"/>
      <c r="G1" s="163"/>
      <c r="H1" s="163"/>
      <c r="I1" s="163"/>
      <c r="J1" s="163"/>
      <c r="K1" s="163"/>
    </row>
    <row r="2" spans="1:12">
      <c r="A2" s="164" t="s">
        <v>678</v>
      </c>
      <c r="B2" s="165"/>
      <c r="C2" s="165"/>
      <c r="D2" s="165"/>
      <c r="E2" s="165"/>
      <c r="F2" s="165"/>
      <c r="G2" s="165"/>
      <c r="H2" s="165"/>
      <c r="I2" s="165"/>
      <c r="J2" s="165"/>
      <c r="K2" s="165"/>
    </row>
    <row r="3" spans="1:12" ht="16.5" customHeight="1">
      <c r="A3" s="33" t="s">
        <v>679</v>
      </c>
      <c r="B3" s="33" t="s">
        <v>680</v>
      </c>
      <c r="C3" s="33" t="s">
        <v>640</v>
      </c>
      <c r="D3" s="33" t="s">
        <v>681</v>
      </c>
      <c r="E3" s="33" t="s">
        <v>682</v>
      </c>
      <c r="F3" s="33" t="s">
        <v>683</v>
      </c>
      <c r="G3" s="33" t="s">
        <v>684</v>
      </c>
      <c r="H3" s="33" t="s">
        <v>685</v>
      </c>
      <c r="I3" s="33" t="s">
        <v>686</v>
      </c>
      <c r="J3" s="33" t="s">
        <v>687</v>
      </c>
      <c r="K3" s="33" t="s">
        <v>645</v>
      </c>
      <c r="L3" s="33" t="s">
        <v>14</v>
      </c>
    </row>
    <row r="4" spans="1:12">
      <c r="A4" s="41" t="s">
        <v>688</v>
      </c>
      <c r="B4" s="41" t="s">
        <v>689</v>
      </c>
      <c r="C4" s="41" t="str">
        <f>_xlfn.LET(_xlpm.d,_xlfn.XLOOKUP(B4,システム要求!$A$4:$A$113,システム要求!$D$4:$D$113,""),_xlpm.m,_xlfn.XLOOKUP(B4,システム要求!$A$4:$A$113,システム要求!$C$4:$C$113,""),IF(_xlpm.d&lt;&gt;"",IFERROR(_xlfn.TEXTBEFORE(_xlpm.d,"："),IFERROR(_xlfn.TEXTBEFORE(_xlpm.d,":"),_xlpm.d)),TRIM(B4&amp;" "&amp;_xlpm.m)))</f>
        <v>K-4 高電圧安全・絶縁</v>
      </c>
      <c r="D4" s="41" t="s">
        <v>690</v>
      </c>
      <c r="E4" s="42"/>
      <c r="F4" s="42"/>
      <c r="G4" s="42"/>
      <c r="H4" s="42"/>
      <c r="I4" s="42"/>
      <c r="J4" s="42"/>
      <c r="K4" s="42"/>
      <c r="L4" s="42"/>
    </row>
    <row r="5" spans="1:12">
      <c r="A5" s="41" t="s">
        <v>691</v>
      </c>
      <c r="B5" s="41" t="s">
        <v>692</v>
      </c>
      <c r="C5" s="41" t="str">
        <f>_xlfn.LET(_xlpm.d,_xlfn.XLOOKUP(B5,システム要求!$A$4:$A$113,システム要求!$D$4:$D$113,""),_xlpm.m,_xlfn.XLOOKUP(B5,システム要求!$A$4:$A$113,システム要求!$C$4:$C$113,""),IF(_xlpm.d&lt;&gt;"",IFERROR(_xlfn.TEXTBEFORE(_xlpm.d,"："),IFERROR(_xlfn.TEXTBEFORE(_xlpm.d,":"),_xlpm.d)),TRIM(B5&amp;" "&amp;_xlpm.m)))</f>
        <v>BS20 絶縁抵抗性能</v>
      </c>
      <c r="D5" s="41" t="s">
        <v>693</v>
      </c>
      <c r="E5" s="42"/>
      <c r="F5" s="42"/>
      <c r="G5" s="42"/>
      <c r="H5" s="42"/>
      <c r="I5" s="42"/>
      <c r="J5" s="42"/>
      <c r="K5" s="42"/>
      <c r="L5" s="42"/>
    </row>
    <row r="6" spans="1:12">
      <c r="A6" s="41" t="s">
        <v>694</v>
      </c>
      <c r="B6" s="41" t="s">
        <v>695</v>
      </c>
      <c r="C6" s="41" t="str">
        <f>_xlfn.LET(_xlpm.d,_xlfn.XLOOKUP(B6,システム要求!$A$4:$A$113,システム要求!$D$4:$D$113,""),_xlpm.m,_xlfn.XLOOKUP(B6,システム要求!$A$4:$A$113,システム要求!$C$4:$C$113,""),IF(_xlpm.d&lt;&gt;"",IFERROR(_xlfn.TEXTBEFORE(_xlpm.d,"："),IFERROR(_xlfn.TEXTBEFORE(_xlpm.d,":"),_xlpm.d)),TRIM(B6&amp;" "&amp;_xlpm.m)))</f>
        <v>BS21 絶縁耐力性能</v>
      </c>
      <c r="D6" s="41" t="s">
        <v>696</v>
      </c>
      <c r="E6" s="42"/>
      <c r="F6" s="42"/>
      <c r="G6" s="42"/>
      <c r="H6" s="42"/>
      <c r="I6" s="42"/>
      <c r="J6" s="42"/>
      <c r="K6" s="42"/>
      <c r="L6" s="42"/>
    </row>
    <row r="7" spans="1:12">
      <c r="A7" s="41" t="s">
        <v>697</v>
      </c>
      <c r="B7" s="41" t="s">
        <v>698</v>
      </c>
      <c r="C7" s="41" t="str">
        <f>_xlfn.LET(_xlpm.d,_xlfn.XLOOKUP(B7,システム要求!$A$4:$A$113,システム要求!$D$4:$D$113,""),_xlpm.m,_xlfn.XLOOKUP(B7,システム要求!$A$4:$A$113,システム要求!$C$4:$C$113,""),IF(_xlpm.d&lt;&gt;"",IFERROR(_xlfn.TEXTBEFORE(_xlpm.d,"："),IFERROR(_xlfn.TEXTBEFORE(_xlpm.d,":"),_xlpm.d)),TRIM(B7&amp;" "&amp;_xlpm.m)))</f>
        <v>BS22 高圧接触保護構造</v>
      </c>
      <c r="D7" s="41" t="s">
        <v>699</v>
      </c>
      <c r="E7" s="42"/>
      <c r="F7" s="42"/>
      <c r="G7" s="42"/>
      <c r="H7" s="42"/>
      <c r="I7" s="42"/>
      <c r="J7" s="42"/>
      <c r="K7" s="42"/>
      <c r="L7" s="42"/>
    </row>
    <row r="8" spans="1:12">
      <c r="A8" s="41" t="s">
        <v>700</v>
      </c>
      <c r="B8" s="41" t="s">
        <v>701</v>
      </c>
      <c r="C8" s="41" t="str">
        <f>_xlfn.LET(_xlpm.d,_xlfn.XLOOKUP(B8,システム要求!$A$4:$A$113,システム要求!$D$4:$D$113,""),_xlpm.m,_xlfn.XLOOKUP(B8,システム要求!$A$4:$A$113,システム要求!$C$4:$C$113,""),IF(_xlpm.d&lt;&gt;"",IFERROR(_xlfn.TEXTBEFORE(_xlpm.d,"："),IFERROR(_xlfn.TEXTBEFORE(_xlpm.d,":"),_xlpm.d)),TRIM(B8&amp;" "&amp;_xlpm.m)))</f>
        <v>BS23 絶縁距離性能</v>
      </c>
      <c r="D8" s="41" t="s">
        <v>702</v>
      </c>
      <c r="E8" s="42"/>
      <c r="F8" s="42"/>
      <c r="G8" s="42"/>
      <c r="H8" s="42"/>
      <c r="I8" s="42"/>
      <c r="J8" s="42"/>
      <c r="K8" s="42"/>
      <c r="L8" s="42"/>
    </row>
    <row r="9" spans="1:12">
      <c r="A9" s="41" t="s">
        <v>703</v>
      </c>
      <c r="B9" s="41" t="s">
        <v>704</v>
      </c>
      <c r="C9" s="41" t="str">
        <f>_xlfn.LET(_xlpm.d,_xlfn.XLOOKUP(B9,システム要求!$A$4:$A$113,システム要求!$D$4:$D$113,""),_xlpm.m,_xlfn.XLOOKUP(B9,システム要求!$A$4:$A$113,システム要求!$C$4:$C$113,""),IF(_xlpm.d&lt;&gt;"",IFERROR(_xlfn.TEXTBEFORE(_xlpm.d,"："),IFERROR(_xlfn.TEXTBEFORE(_xlpm.d,":"),_xlpm.d)),TRIM(B9&amp;" "&amp;_xlpm.m)))</f>
        <v>BS18 外部短絡安全性性能</v>
      </c>
      <c r="D9" s="41" t="s">
        <v>705</v>
      </c>
      <c r="E9" s="42"/>
      <c r="F9" s="42"/>
      <c r="G9" s="42"/>
      <c r="H9" s="42"/>
      <c r="I9" s="42"/>
      <c r="J9" s="42"/>
      <c r="K9" s="42"/>
      <c r="L9" s="42"/>
    </row>
    <row r="10" spans="1:12">
      <c r="A10" s="41" t="s">
        <v>706</v>
      </c>
      <c r="B10" s="41" t="s">
        <v>27</v>
      </c>
      <c r="C10" s="41" t="str">
        <f>_xlfn.LET(_xlpm.d,_xlfn.XLOOKUP(B10,システム要求!$A$4:$A$113,システム要求!$D$4:$D$113,""),_xlpm.m,_xlfn.XLOOKUP(B10,システム要求!$A$4:$A$113,システム要求!$C$4:$C$113,""),IF(_xlpm.d&lt;&gt;"",IFERROR(_xlfn.TEXTBEFORE(_xlpm.d,"："),IFERROR(_xlfn.TEXTBEFORE(_xlpm.d,":"),_xlpm.d)),TRIM(B10&amp;" "&amp;_xlpm.m)))</f>
        <v>法規(AIS-038 Rev.2)を満足させる</v>
      </c>
      <c r="D10" s="41" t="s">
        <v>93</v>
      </c>
      <c r="E10" s="42"/>
      <c r="F10" s="42"/>
      <c r="G10" s="42"/>
      <c r="H10" s="42"/>
      <c r="I10" s="42"/>
      <c r="J10" s="42"/>
      <c r="K10" s="42"/>
      <c r="L10" s="42"/>
    </row>
    <row r="11" spans="1:12">
      <c r="A11" s="41" t="s">
        <v>707</v>
      </c>
      <c r="B11" s="41" t="s">
        <v>35</v>
      </c>
      <c r="C11" s="41" t="str">
        <f>_xlfn.LET(_xlpm.d,_xlfn.XLOOKUP(B11,システム要求!$A$4:$A$113,システム要求!$D$4:$D$113,""),_xlpm.m,_xlfn.XLOOKUP(B11,システム要求!$A$4:$A$113,システム要求!$C$4:$C$113,""),IF(_xlpm.d&lt;&gt;"",IFERROR(_xlfn.TEXTBEFORE(_xlpm.d,"："),IFERROR(_xlfn.TEXTBEFORE(_xlpm.d,":"),_xlpm.d)),TRIM(B11&amp;" "&amp;_xlpm.m)))</f>
        <v>法規(GB38031-2025)を満足させる</v>
      </c>
      <c r="D11" s="41" t="s">
        <v>708</v>
      </c>
      <c r="E11" s="42"/>
      <c r="F11" s="42"/>
      <c r="G11" s="42"/>
      <c r="H11" s="42"/>
      <c r="I11" s="42"/>
      <c r="J11" s="42"/>
      <c r="K11" s="42"/>
      <c r="L11" s="42"/>
    </row>
    <row r="12" spans="1:12">
      <c r="A12" s="41" t="s">
        <v>709</v>
      </c>
      <c r="B12" s="41" t="s">
        <v>43</v>
      </c>
      <c r="C12" s="41" t="str">
        <f>_xlfn.LET(_xlpm.d,_xlfn.XLOOKUP(B12,システム要求!$A$4:$A$113,システム要求!$D$4:$D$113,""),_xlpm.m,_xlfn.XLOOKUP(B12,システム要求!$A$4:$A$113,システム要求!$C$4:$C$113,""),IF(_xlpm.d&lt;&gt;"",IFERROR(_xlfn.TEXTBEFORE(_xlpm.d,"："),IFERROR(_xlfn.TEXTBEFORE(_xlpm.d,":"),_xlpm.d)),TRIM(B12&amp;" "&amp;_xlpm.m)))</f>
        <v>法規(KMVSS 48)を満足させる</v>
      </c>
      <c r="D12" s="41" t="s">
        <v>710</v>
      </c>
      <c r="E12" s="42"/>
      <c r="F12" s="42"/>
      <c r="G12" s="42"/>
      <c r="H12" s="42"/>
      <c r="I12" s="42"/>
      <c r="J12" s="42"/>
      <c r="K12" s="42"/>
      <c r="L12" s="42"/>
    </row>
    <row r="13" spans="1:12">
      <c r="A13" s="41" t="s">
        <v>711</v>
      </c>
      <c r="B13" s="41" t="s">
        <v>50</v>
      </c>
      <c r="C13" s="41" t="str">
        <f>_xlfn.LET(_xlpm.d,_xlfn.XLOOKUP(B13,システム要求!$A$4:$A$113,システム要求!$D$4:$D$113,""),_xlpm.m,_xlfn.XLOOKUP(B13,システム要求!$A$4:$A$113,システム要求!$C$4:$C$113,""),IF(_xlpm.d&lt;&gt;"",IFERROR(_xlfn.TEXTBEFORE(_xlpm.d,"："),IFERROR(_xlfn.TEXTBEFORE(_xlpm.d,":"),_xlpm.d)),TRIM(B13&amp;" "&amp;_xlpm.m)))</f>
        <v>法規(FMVSS305a)を満足させる</v>
      </c>
      <c r="D13" s="41" t="s">
        <v>712</v>
      </c>
      <c r="E13" s="42"/>
      <c r="F13" s="42"/>
      <c r="G13" s="42"/>
      <c r="H13" s="42"/>
      <c r="I13" s="42"/>
      <c r="J13" s="42"/>
      <c r="K13" s="42"/>
      <c r="L13" s="42"/>
    </row>
    <row r="14" spans="1:12">
      <c r="A14" s="41" t="s">
        <v>713</v>
      </c>
      <c r="B14" s="41" t="s">
        <v>57</v>
      </c>
      <c r="C14" s="41" t="str">
        <f>_xlfn.LET(_xlpm.d,_xlfn.XLOOKUP(B14,システム要求!$A$4:$A$113,システム要求!$D$4:$D$113,""),_xlpm.m,_xlfn.XLOOKUP(B14,システム要求!$A$4:$A$113,システム要求!$C$4:$C$113,""),IF(_xlpm.d&lt;&gt;"",IFERROR(_xlfn.TEXTBEFORE(_xlpm.d,"："),IFERROR(_xlfn.TEXTBEFORE(_xlpm.d,":"),_xlpm.d)),TRIM(B14&amp;" "&amp;_xlpm.m)))</f>
        <v>法規(UN-R-100)を満足させる</v>
      </c>
      <c r="D14" s="41" t="s">
        <v>99</v>
      </c>
      <c r="E14" s="42"/>
      <c r="F14" s="42"/>
      <c r="G14" s="42"/>
      <c r="H14" s="42"/>
      <c r="I14" s="42"/>
      <c r="J14" s="42"/>
      <c r="K14" s="42"/>
      <c r="L14" s="42"/>
    </row>
    <row r="15" spans="1:12" ht="36">
      <c r="A15" s="41" t="s">
        <v>714</v>
      </c>
      <c r="B15" s="41" t="s">
        <v>63</v>
      </c>
      <c r="C15" s="41" t="str">
        <f>_xlfn.LET(_xlpm.d,_xlfn.XLOOKUP(B15,システム要求!$A$4:$A$113,システム要求!$D$4:$D$113,""),_xlpm.m,_xlfn.XLOOKUP(B15,システム要求!$A$4:$A$113,システム要求!$C$4:$C$113,""),IF(_xlpm.d&lt;&gt;"",IFERROR(_xlfn.TEXTBEFORE(_xlpm.d,"："),IFERROR(_xlfn.TEXTBEFORE(_xlpm.d,":"),_xlpm.d)),TRIM(B15&amp;" "&amp;_xlpm.m)))</f>
        <v>法規(SASO + GSO ECE 100)を満足させる</v>
      </c>
      <c r="D15" s="41" t="s">
        <v>715</v>
      </c>
      <c r="E15" s="42"/>
      <c r="F15" s="42"/>
      <c r="G15" s="42"/>
      <c r="H15" s="42"/>
      <c r="I15" s="42"/>
      <c r="J15" s="42"/>
      <c r="K15" s="42"/>
      <c r="L15" s="42"/>
    </row>
    <row r="16" spans="1:12">
      <c r="A16" s="41" t="s">
        <v>716</v>
      </c>
      <c r="B16" s="41" t="s">
        <v>717</v>
      </c>
      <c r="C16" s="41" t="str">
        <f>_xlfn.LET(_xlpm.d,_xlfn.XLOOKUP(B16,システム要求!$A$4:$A$113,システム要求!$D$4:$D$113,""),_xlpm.m,_xlfn.XLOOKUP(B16,システム要求!$A$4:$A$113,システム要求!$C$4:$C$113,""),IF(_xlpm.d&lt;&gt;"",IFERROR(_xlfn.TEXTBEFORE(_xlpm.d,"："),IFERROR(_xlfn.TEXTBEFORE(_xlpm.d,":"),_xlpm.d)),TRIM(B16&amp;" "&amp;_xlpm.m)))</f>
        <v>法規(UAE.S + GSO ECE 100)を満足させる</v>
      </c>
      <c r="D16" s="41" t="s">
        <v>718</v>
      </c>
      <c r="E16" s="42"/>
      <c r="F16" s="42"/>
      <c r="G16" s="42"/>
      <c r="H16" s="42"/>
      <c r="I16" s="42"/>
      <c r="J16" s="42"/>
      <c r="K16" s="42"/>
      <c r="L16" s="42"/>
    </row>
    <row r="17" spans="1:12">
      <c r="A17" s="41" t="s">
        <v>719</v>
      </c>
      <c r="B17" s="41" t="s">
        <v>720</v>
      </c>
      <c r="C17" s="41" t="str">
        <f>_xlfn.LET(_xlpm.d,_xlfn.XLOOKUP(B17,システム要求!$A$4:$A$113,システム要求!$D$4:$D$113,""),_xlpm.m,_xlfn.XLOOKUP(B17,システム要求!$A$4:$A$113,システム要求!$C$4:$C$113,""),IF(_xlpm.d&lt;&gt;"",IFERROR(_xlfn.TEXTBEFORE(_xlpm.d,"："),IFERROR(_xlfn.TEXTBEFORE(_xlpm.d,":"),_xlpm.d)),TRIM(B17&amp;" "&amp;_xlpm.m)))</f>
        <v>QCVN 09</v>
      </c>
      <c r="D17" s="41" t="s">
        <v>721</v>
      </c>
      <c r="E17" s="42"/>
      <c r="F17" s="42"/>
      <c r="G17" s="42"/>
      <c r="H17" s="42"/>
      <c r="I17" s="42"/>
      <c r="J17" s="42"/>
      <c r="K17" s="42"/>
      <c r="L17" s="42"/>
    </row>
    <row r="18" spans="1:12" ht="72">
      <c r="A18" s="41" t="s">
        <v>722</v>
      </c>
      <c r="B18" s="41" t="s">
        <v>723</v>
      </c>
      <c r="C18" s="41" t="str">
        <f>_xlfn.LET(_xlpm.d,_xlfn.XLOOKUP(B18,システム要求!$A$4:$A$113,システム要求!$D$4:$D$113,""),_xlpm.m,_xlfn.XLOOKUP(B18,システム要求!$A$4:$A$113,システム要求!$C$4:$C$113,""),IF(_xlpm.d&lt;&gt;"",IFERROR(_xlfn.TEXTBEFORE(_xlpm.d,"："),IFERROR(_xlfn.TEXTBEFORE(_xlpm.d,":"),_xlpm.d)),TRIM(B18&amp;" "&amp;_xlpm.m)))</f>
        <v>ISO 6469-1を満たす
RESSは動作状態での外部短絡に対し、導体の耐短絡電流定格または過電流保護によって安全性能を提供する。</v>
      </c>
      <c r="D18" s="41" t="s">
        <v>724</v>
      </c>
      <c r="E18" s="42"/>
      <c r="F18" s="42"/>
      <c r="G18" s="42"/>
      <c r="H18" s="42"/>
      <c r="I18" s="42"/>
      <c r="J18" s="42"/>
      <c r="K18" s="42"/>
      <c r="L18" s="42"/>
    </row>
    <row r="19" spans="1:12">
      <c r="A19" s="41" t="s">
        <v>725</v>
      </c>
      <c r="B19" s="41" t="s">
        <v>726</v>
      </c>
      <c r="C19" s="41" t="str">
        <f>_xlfn.LET(_xlpm.d,_xlfn.XLOOKUP(B19,システム要求!$A$4:$A$113,システム要求!$D$4:$D$113,""),_xlpm.m,_xlfn.XLOOKUP(B19,システム要求!$A$4:$A$113,システム要求!$C$4:$C$113,""),IF(_xlpm.d&lt;&gt;"",IFERROR(_xlfn.TEXTBEFORE(_xlpm.d,"："),IFERROR(_xlfn.TEXTBEFORE(_xlpm.d,":"),_xlpm.d)),TRIM(B19&amp;" "&amp;_xlpm.m)))</f>
        <v>輸送法規 UN38.3を満たす</v>
      </c>
      <c r="D19" s="41" t="s">
        <v>727</v>
      </c>
      <c r="E19" s="42"/>
      <c r="F19" s="42"/>
      <c r="G19" s="42"/>
      <c r="H19" s="42"/>
      <c r="I19" s="42"/>
      <c r="J19" s="42"/>
      <c r="K19" s="42"/>
      <c r="L19" s="42"/>
    </row>
    <row r="20" spans="1:12">
      <c r="A20" s="41" t="s">
        <v>728</v>
      </c>
      <c r="B20" s="41" t="s">
        <v>729</v>
      </c>
      <c r="C20" s="41" t="str">
        <f>_xlfn.LET(_xlpm.d,_xlfn.XLOOKUP(B20,システム要求!$A$4:$A$113,システム要求!$D$4:$D$113,""),_xlpm.m,_xlfn.XLOOKUP(B20,システム要求!$A$4:$A$113,システム要求!$C$4:$C$113,""),IF(_xlpm.d&lt;&gt;"",IFERROR(_xlfn.TEXTBEFORE(_xlpm.d,"："),IFERROR(_xlfn.TEXTBEFORE(_xlpm.d,":"),_xlpm.d)),TRIM(B20&amp;" "&amp;_xlpm.m)))</f>
        <v>TSW 1310 外部短絡　安全性評価</v>
      </c>
      <c r="D20" s="41" t="s">
        <v>109</v>
      </c>
      <c r="E20" s="42"/>
      <c r="F20" s="42"/>
      <c r="G20" s="42"/>
      <c r="H20" s="42"/>
      <c r="I20" s="42"/>
      <c r="J20" s="42"/>
      <c r="K20" s="42"/>
      <c r="L20" s="42"/>
    </row>
    <row r="21" spans="1:12">
      <c r="A21" s="41" t="s">
        <v>730</v>
      </c>
      <c r="B21" s="41" t="s">
        <v>731</v>
      </c>
      <c r="C21" s="41" t="str">
        <f>_xlfn.LET(_xlpm.d,_xlfn.XLOOKUP(B21,システム要求!$A$4:$A$113,システム要求!$D$4:$D$113,""),_xlpm.m,_xlfn.XLOOKUP(B21,システム要求!$A$4:$A$113,システム要求!$C$4:$C$113,""),IF(_xlpm.d&lt;&gt;"",IFERROR(_xlfn.TEXTBEFORE(_xlpm.d,"："),IFERROR(_xlfn.TEXTBEFORE(_xlpm.d,":"),_xlpm.d)),TRIM(B21&amp;" "&amp;_xlpm.m)))</f>
        <v>BAT-018 熱衝撃</v>
      </c>
      <c r="D21" s="41" t="s">
        <v>112</v>
      </c>
      <c r="E21" s="42"/>
      <c r="F21" s="42"/>
      <c r="G21" s="42"/>
      <c r="H21" s="42"/>
      <c r="I21" s="42"/>
      <c r="J21" s="42"/>
      <c r="K21" s="42"/>
      <c r="L21" s="42"/>
    </row>
    <row r="22" spans="1:12">
      <c r="A22" s="41" t="s">
        <v>732</v>
      </c>
      <c r="B22" s="41" t="s">
        <v>733</v>
      </c>
      <c r="C22" s="41" t="str">
        <f>_xlfn.LET(_xlpm.d,_xlfn.XLOOKUP(B22,システム要求!$A$4:$A$113,システム要求!$D$4:$D$113,""),_xlpm.m,_xlfn.XLOOKUP(B22,システム要求!$A$4:$A$113,システム要求!$C$4:$C$113,""),IF(_xlpm.d&lt;&gt;"",IFERROR(_xlfn.TEXTBEFORE(_xlpm.d,"："),IFERROR(_xlfn.TEXTBEFORE(_xlpm.d,":"),_xlpm.d)),TRIM(B22&amp;" "&amp;_xlpm.m)))</f>
        <v>BS25 冷却温度制御条件</v>
      </c>
      <c r="D22" s="41" t="s">
        <v>734</v>
      </c>
      <c r="E22" s="42"/>
      <c r="F22" s="42"/>
      <c r="G22" s="42"/>
      <c r="H22" s="42"/>
      <c r="I22" s="42"/>
      <c r="J22" s="42"/>
      <c r="K22" s="42"/>
      <c r="L22" s="42"/>
    </row>
    <row r="23" spans="1:12">
      <c r="A23" s="41" t="s">
        <v>735</v>
      </c>
      <c r="B23" s="41" t="s">
        <v>736</v>
      </c>
      <c r="C23" s="41" t="str">
        <f>_xlfn.LET(_xlpm.d,_xlfn.XLOOKUP(B23,システム要求!$A$4:$A$113,システム要求!$D$4:$D$113,""),_xlpm.m,_xlfn.XLOOKUP(B23,システム要求!$A$4:$A$113,システム要求!$C$4:$C$113,""),IF(_xlpm.d&lt;&gt;"",IFERROR(_xlfn.TEXTBEFORE(_xlpm.d,"："),IFERROR(_xlfn.TEXTBEFORE(_xlpm.d,":"),_xlpm.d)),TRIM(B23&amp;" "&amp;_xlpm.m)))</f>
        <v>BS27 動作温度限界性能</v>
      </c>
      <c r="D23" s="41"/>
      <c r="E23" t="s">
        <v>737</v>
      </c>
      <c r="F23" t="s">
        <v>738</v>
      </c>
      <c r="G23" t="s">
        <v>739</v>
      </c>
      <c r="H23" s="42"/>
      <c r="I23" s="42"/>
      <c r="J23" s="42"/>
      <c r="K23" s="42"/>
      <c r="L23" s="42"/>
    </row>
    <row r="24" spans="1:12">
      <c r="A24" s="41" t="s">
        <v>740</v>
      </c>
      <c r="B24" s="41" t="s">
        <v>741</v>
      </c>
      <c r="C24" s="41" t="str">
        <f>_xlfn.LET(_xlpm.d,_xlfn.XLOOKUP(B24,システム要求!$A$4:$A$113,システム要求!$D$4:$D$113,""),_xlpm.m,_xlfn.XLOOKUP(B24,システム要求!$A$4:$A$113,システム要求!$C$4:$C$113,""),IF(_xlpm.d&lt;&gt;"",IFERROR(_xlfn.TEXTBEFORE(_xlpm.d,"："),IFERROR(_xlfn.TEXTBEFORE(_xlpm.d,":"),_xlpm.d)),TRIM(B24&amp;" "&amp;_xlpm.m)))</f>
        <v>BS28 環境動作温度・湿度範囲</v>
      </c>
      <c r="D24" s="41"/>
      <c r="E24" t="s">
        <v>737</v>
      </c>
      <c r="F24" t="s">
        <v>738</v>
      </c>
      <c r="G24" t="s">
        <v>739</v>
      </c>
      <c r="H24" s="42"/>
      <c r="I24" s="42"/>
      <c r="J24" s="42"/>
      <c r="K24" s="42"/>
      <c r="L24" s="42"/>
    </row>
    <row r="25" spans="1:12">
      <c r="A25" s="41" t="s">
        <v>742</v>
      </c>
      <c r="B25" s="41" t="s">
        <v>743</v>
      </c>
      <c r="C25" s="41" t="str">
        <f>_xlfn.LET(_xlpm.d,_xlfn.XLOOKUP(B25,システム要求!$A$4:$A$113,システム要求!$D$4:$D$113,""),_xlpm.m,_xlfn.XLOOKUP(B25,システム要求!$A$4:$A$113,システム要求!$C$4:$C$113,""),IF(_xlpm.d&lt;&gt;"",IFERROR(_xlfn.TEXTBEFORE(_xlpm.d,"："),IFERROR(_xlfn.TEXTBEFORE(_xlpm.d,":"),_xlpm.d)),TRIM(B25&amp;" "&amp;_xlpm.m)))</f>
        <v>K-3 強度・衝突安全</v>
      </c>
      <c r="D25" s="41"/>
      <c r="E25" t="s">
        <v>737</v>
      </c>
      <c r="F25" t="s">
        <v>738</v>
      </c>
      <c r="G25" t="s">
        <v>739</v>
      </c>
      <c r="H25" s="42"/>
      <c r="I25" s="42"/>
      <c r="J25" s="42"/>
      <c r="K25" s="42"/>
      <c r="L25" s="42"/>
    </row>
    <row r="26" spans="1:12">
      <c r="A26" s="41" t="s">
        <v>744</v>
      </c>
      <c r="B26" s="41" t="s">
        <v>745</v>
      </c>
      <c r="C26" s="41" t="str">
        <f>_xlfn.LET(_xlpm.d,_xlfn.XLOOKUP(B26,システム要求!$A$4:$A$113,システム要求!$D$4:$D$113,""),_xlpm.m,_xlfn.XLOOKUP(B26,システム要求!$A$4:$A$113,システム要求!$C$4:$C$113,""),IF(_xlpm.d&lt;&gt;"",IFERROR(_xlfn.TEXTBEFORE(_xlpm.d,"："),IFERROR(_xlfn.TEXTBEFORE(_xlpm.d,":"),_xlpm.d)),TRIM(B26&amp;" "&amp;_xlpm.m)))</f>
        <v>BS11 耐久信頼性性能</v>
      </c>
      <c r="D26" s="41"/>
      <c r="E26" t="s">
        <v>737</v>
      </c>
      <c r="F26" t="s">
        <v>738</v>
      </c>
      <c r="G26" t="s">
        <v>739</v>
      </c>
      <c r="H26" s="42"/>
      <c r="I26" s="42"/>
      <c r="J26" s="42"/>
      <c r="K26" s="42"/>
      <c r="L26" s="42"/>
    </row>
    <row r="27" spans="1:12">
      <c r="A27" s="41" t="s">
        <v>746</v>
      </c>
      <c r="B27" s="41" t="s">
        <v>747</v>
      </c>
      <c r="C27" s="41" t="str">
        <f>_xlfn.LET(_xlpm.d,_xlfn.XLOOKUP(B27,システム要求!$A$4:$A$113,システム要求!$D$4:$D$113,""),_xlpm.m,_xlfn.XLOOKUP(B27,システム要求!$A$4:$A$113,システム要求!$C$4:$C$113,""),IF(_xlpm.d&lt;&gt;"",IFERROR(_xlfn.TEXTBEFORE(_xlpm.d,"："),IFERROR(_xlfn.TEXTBEFORE(_xlpm.d,":"),_xlpm.d)),TRIM(B27&amp;" "&amp;_xlpm.m)))</f>
        <v>BS12 振動適合</v>
      </c>
      <c r="D27" s="41"/>
      <c r="E27" t="s">
        <v>737</v>
      </c>
      <c r="F27" t="s">
        <v>738</v>
      </c>
      <c r="G27" t="s">
        <v>739</v>
      </c>
      <c r="H27" s="42"/>
      <c r="I27" s="42"/>
      <c r="J27" s="42"/>
      <c r="K27" s="42"/>
      <c r="L27" s="42"/>
    </row>
    <row r="28" spans="1:12">
      <c r="A28" s="41" t="s">
        <v>748</v>
      </c>
      <c r="B28" s="41" t="s">
        <v>749</v>
      </c>
      <c r="C28" s="41" t="str">
        <f>_xlfn.LET(_xlpm.d,_xlfn.XLOOKUP(B28,システム要求!$A$4:$A$113,システム要求!$D$4:$D$113,""),_xlpm.m,_xlfn.XLOOKUP(B28,システム要求!$A$4:$A$113,システム要求!$C$4:$C$113,""),IF(_xlpm.d&lt;&gt;"",IFERROR(_xlfn.TEXTBEFORE(_xlpm.d,"："),IFERROR(_xlfn.TEXTBEFORE(_xlpm.d,":"),_xlpm.d)),TRIM(B28&amp;" "&amp;_xlpm.m)))</f>
        <v>BS16 圧壊安全性性能</v>
      </c>
      <c r="D28" s="41"/>
      <c r="E28" t="s">
        <v>737</v>
      </c>
      <c r="F28" t="s">
        <v>738</v>
      </c>
      <c r="G28" t="s">
        <v>739</v>
      </c>
      <c r="H28" s="42"/>
      <c r="I28" s="42"/>
      <c r="J28" s="42"/>
      <c r="K28" s="42"/>
      <c r="L28" s="42"/>
    </row>
    <row r="29" spans="1:12">
      <c r="A29" s="41" t="s">
        <v>750</v>
      </c>
      <c r="B29" s="41" t="s">
        <v>751</v>
      </c>
      <c r="C29" s="41" t="str">
        <f>_xlfn.LET(_xlpm.d,_xlfn.XLOOKUP(B29,システム要求!$A$4:$A$113,システム要求!$D$4:$D$113,""),_xlpm.m,_xlfn.XLOOKUP(B29,システム要求!$A$4:$A$113,システム要求!$C$4:$C$113,""),IF(_xlpm.d&lt;&gt;"",IFERROR(_xlfn.TEXTBEFORE(_xlpm.d,"："),IFERROR(_xlfn.TEXTBEFORE(_xlpm.d,":"),_xlpm.d)),TRIM(B29&amp;" "&amp;_xlpm.m)))</f>
        <v>BS14 路面・落下物干渉防護</v>
      </c>
      <c r="D29" s="41"/>
      <c r="E29" t="s">
        <v>737</v>
      </c>
      <c r="F29" t="s">
        <v>738</v>
      </c>
      <c r="G29" t="s">
        <v>739</v>
      </c>
      <c r="H29" s="42"/>
      <c r="I29" s="42"/>
      <c r="J29" s="42"/>
      <c r="K29" s="42"/>
      <c r="L29" s="42"/>
    </row>
    <row r="30" spans="1:12">
      <c r="A30" s="41" t="s">
        <v>752</v>
      </c>
      <c r="B30" s="41" t="s">
        <v>753</v>
      </c>
      <c r="C30" s="41" t="str">
        <f>_xlfn.LET(_xlpm.d,_xlfn.XLOOKUP(B30,システム要求!$A$4:$A$113,システム要求!$D$4:$D$113,""),_xlpm.m,_xlfn.XLOOKUP(B30,システム要求!$A$4:$A$113,システム要求!$C$4:$C$113,""),IF(_xlpm.d&lt;&gt;"",IFERROR(_xlfn.TEXTBEFORE(_xlpm.d,"："),IFERROR(_xlfn.TEXTBEFORE(_xlpm.d,":"),_xlpm.d)),TRIM(B30&amp;" "&amp;_xlpm.m)))</f>
        <v>BS19 底部機械防護性能</v>
      </c>
      <c r="D30" s="41" t="s">
        <v>754</v>
      </c>
      <c r="E30" s="42"/>
      <c r="F30" s="42"/>
      <c r="G30" s="42"/>
      <c r="H30" s="42"/>
      <c r="I30" s="42"/>
      <c r="J30" s="42"/>
      <c r="K30" s="42"/>
      <c r="L30" s="42"/>
    </row>
    <row r="31" spans="1:12">
      <c r="A31" s="41" t="s">
        <v>755</v>
      </c>
      <c r="B31" s="41" t="s">
        <v>756</v>
      </c>
      <c r="C31" s="41" t="str">
        <f>_xlfn.LET(_xlpm.d,_xlfn.XLOOKUP(B31,システム要求!$A$4:$A$113,システム要求!$D$4:$D$113,""),_xlpm.m,_xlfn.XLOOKUP(B31,システム要求!$A$4:$A$113,システム要求!$C$4:$C$113,""),IF(_xlpm.d&lt;&gt;"",IFERROR(_xlfn.TEXTBEFORE(_xlpm.d,"："),IFERROR(_xlfn.TEXTBEFORE(_xlpm.d,":"),_xlpm.d)),TRIM(B31&amp;" "&amp;_xlpm.m)))</f>
        <v>BAT-028 側突</v>
      </c>
      <c r="D31" s="41" t="s">
        <v>154</v>
      </c>
      <c r="E31" s="42"/>
      <c r="F31" s="42"/>
      <c r="G31" s="42"/>
      <c r="H31" s="42"/>
      <c r="I31" s="42"/>
      <c r="J31" s="42"/>
      <c r="K31" s="42"/>
      <c r="L31" s="42"/>
    </row>
    <row r="32" spans="1:12">
      <c r="A32" s="41" t="s">
        <v>757</v>
      </c>
      <c r="B32" s="41" t="s">
        <v>758</v>
      </c>
      <c r="C32" s="41" t="str">
        <f>_xlfn.LET(_xlpm.d,_xlfn.XLOOKUP(B32,システム要求!$A$4:$A$113,システム要求!$D$4:$D$113,""),_xlpm.m,_xlfn.XLOOKUP(B32,システム要求!$A$4:$A$113,システム要求!$C$4:$C$113,""),IF(_xlpm.d&lt;&gt;"",IFERROR(_xlfn.TEXTBEFORE(_xlpm.d,"："),IFERROR(_xlfn.TEXTBEFORE(_xlpm.d,":"),_xlpm.d)),TRIM(B32&amp;" "&amp;_xlpm.m)))</f>
        <v>BAT-029 ポール側突</v>
      </c>
      <c r="D32" s="41" t="s">
        <v>759</v>
      </c>
      <c r="E32" s="42"/>
      <c r="F32" s="42"/>
      <c r="G32" s="42"/>
      <c r="H32" s="42"/>
      <c r="I32" s="42"/>
      <c r="J32" s="42"/>
      <c r="K32" s="42"/>
      <c r="L32" s="42"/>
    </row>
    <row r="33" spans="1:12">
      <c r="A33" s="41" t="s">
        <v>760</v>
      </c>
      <c r="B33" s="41" t="s">
        <v>761</v>
      </c>
      <c r="C33" s="41" t="str">
        <f>_xlfn.LET(_xlpm.d,_xlfn.XLOOKUP(B33,システム要求!$A$4:$A$113,システム要求!$D$4:$D$113,""),_xlpm.m,_xlfn.XLOOKUP(B33,システム要求!$A$4:$A$113,システム要求!$C$4:$C$113,""),IF(_xlpm.d&lt;&gt;"",IFERROR(_xlfn.TEXTBEFORE(_xlpm.d,"："),IFERROR(_xlfn.TEXTBEFORE(_xlpm.d,":"),_xlpm.d)),TRIM(B33&amp;" "&amp;_xlpm.m)))</f>
        <v>BS15 衝突安全性性能</v>
      </c>
      <c r="D33" s="41" t="s">
        <v>762</v>
      </c>
      <c r="E33" s="42"/>
      <c r="F33" s="42"/>
      <c r="G33" s="42"/>
      <c r="H33" s="42"/>
      <c r="I33" s="42"/>
      <c r="J33" s="42"/>
      <c r="K33" s="42"/>
      <c r="L33" s="42"/>
    </row>
    <row r="34" spans="1:12">
      <c r="A34" s="41" t="s">
        <v>763</v>
      </c>
      <c r="B34" s="41" t="s">
        <v>764</v>
      </c>
      <c r="C34" s="41" t="str">
        <f>_xlfn.LET(_xlpm.d,_xlfn.XLOOKUP(B34,システム要求!$A$4:$A$113,システム要求!$D$4:$D$113,""),_xlpm.m,_xlfn.XLOOKUP(B34,システム要求!$A$4:$A$113,システム要求!$C$4:$C$113,""),IF(_xlpm.d&lt;&gt;"",IFERROR(_xlfn.TEXTBEFORE(_xlpm.d,"："),IFERROR(_xlfn.TEXTBEFORE(_xlpm.d,":"),_xlpm.d)),TRIM(B34&amp;" "&amp;_xlpm.m)))</f>
        <v>法規(UN-R-100/05)を満足させる</v>
      </c>
      <c r="D34" s="41" t="s">
        <v>765</v>
      </c>
      <c r="E34" s="42"/>
      <c r="F34" s="42"/>
      <c r="G34" s="42"/>
      <c r="H34" s="42"/>
      <c r="I34" s="42"/>
      <c r="J34" s="42"/>
      <c r="K34" s="42"/>
      <c r="L34" s="42"/>
    </row>
    <row r="35" spans="1:12">
      <c r="A35" s="41" t="s">
        <v>766</v>
      </c>
      <c r="B35" s="41" t="s">
        <v>767</v>
      </c>
      <c r="C35" s="41" t="str">
        <f>_xlfn.LET(_xlpm.d,_xlfn.XLOOKUP(B35,システム要求!$A$4:$A$113,システム要求!$D$4:$D$113,""),_xlpm.m,_xlfn.XLOOKUP(B35,システム要求!$A$4:$A$113,システム要求!$C$4:$C$113,""),IF(_xlpm.d&lt;&gt;"",IFERROR(_xlfn.TEXTBEFORE(_xlpm.d,"："),IFERROR(_xlfn.TEXTBEFORE(_xlpm.d,":"),_xlpm.d)),TRIM(B35&amp;" "&amp;_xlpm.m)))</f>
        <v>法規(UN-R-100/05)を満足させる</v>
      </c>
      <c r="D35" s="41" t="s">
        <v>161</v>
      </c>
      <c r="E35" s="42"/>
      <c r="F35" s="42"/>
      <c r="G35" s="42"/>
      <c r="H35" s="42"/>
      <c r="I35" s="42"/>
      <c r="J35" s="42"/>
      <c r="K35" s="42"/>
      <c r="L35" s="42"/>
    </row>
    <row r="36" spans="1:12">
      <c r="A36" s="41" t="s">
        <v>768</v>
      </c>
      <c r="B36" s="41" t="s">
        <v>769</v>
      </c>
      <c r="C36" s="41" t="str">
        <f>_xlfn.LET(_xlpm.d,_xlfn.XLOOKUP(B36,システム要求!$A$4:$A$113,システム要求!$D$4:$D$113,""),_xlpm.m,_xlfn.XLOOKUP(B36,システム要求!$A$4:$A$113,システム要求!$C$4:$C$113,""),IF(_xlpm.d&lt;&gt;"",IFERROR(_xlfn.TEXTBEFORE(_xlpm.d,"："),IFERROR(_xlfn.TEXTBEFORE(_xlpm.d,":"),_xlpm.d)),TRIM(B36&amp;" "&amp;_xlpm.m)))</f>
        <v>法規(UN-R-100/05)を満足させる</v>
      </c>
      <c r="D36" s="41" t="s">
        <v>770</v>
      </c>
      <c r="E36" s="42"/>
      <c r="F36" s="42"/>
      <c r="G36" s="42"/>
      <c r="H36" s="42"/>
      <c r="I36" s="42"/>
      <c r="J36" s="42"/>
      <c r="K36" s="42"/>
      <c r="L36" s="42"/>
    </row>
    <row r="37" spans="1:12">
      <c r="A37" s="41" t="s">
        <v>771</v>
      </c>
      <c r="B37" s="41" t="s">
        <v>772</v>
      </c>
      <c r="C37" s="41" t="str">
        <f>_xlfn.LET(_xlpm.d,_xlfn.XLOOKUP(B37,システム要求!$A$4:$A$113,システム要求!$D$4:$D$113,""),_xlpm.m,_xlfn.XLOOKUP(B37,システム要求!$A$4:$A$113,システム要求!$C$4:$C$113,""),IF(_xlpm.d&lt;&gt;"",IFERROR(_xlfn.TEXTBEFORE(_xlpm.d,"："),IFERROR(_xlfn.TEXTBEFORE(_xlpm.d,":"),_xlpm.d)),TRIM(B37&amp;" "&amp;_xlpm.m)))</f>
        <v>法規(UN-R-100/05)を満足させる</v>
      </c>
      <c r="D37" s="41" t="s">
        <v>773</v>
      </c>
      <c r="E37" s="42"/>
      <c r="F37" s="42"/>
      <c r="G37" s="42"/>
      <c r="H37" s="42"/>
      <c r="I37" s="42"/>
      <c r="J37" s="42"/>
      <c r="K37" s="42"/>
      <c r="L37" s="42"/>
    </row>
    <row r="38" spans="1:12">
      <c r="A38" s="41" t="s">
        <v>774</v>
      </c>
      <c r="B38" s="41" t="s">
        <v>775</v>
      </c>
      <c r="C38" s="41" t="str">
        <f>_xlfn.LET(_xlpm.d,_xlfn.XLOOKUP(B38,システム要求!$A$4:$A$113,システム要求!$D$4:$D$113,""),_xlpm.m,_xlfn.XLOOKUP(B38,システム要求!$A$4:$A$113,システム要求!$C$4:$C$113,""),IF(_xlpm.d&lt;&gt;"",IFERROR(_xlfn.TEXTBEFORE(_xlpm.d,"："),IFERROR(_xlfn.TEXTBEFORE(_xlpm.d,":"),_xlpm.d)),TRIM(B38&amp;" "&amp;_xlpm.m)))</f>
        <v>法規(GB38031-2025)を満足させる</v>
      </c>
      <c r="D38" s="41" t="s">
        <v>776</v>
      </c>
      <c r="E38" s="42"/>
      <c r="F38" s="42"/>
      <c r="G38" s="42"/>
      <c r="H38" s="42"/>
      <c r="I38" s="42"/>
      <c r="J38" s="42"/>
      <c r="K38" s="42"/>
      <c r="L38" s="42"/>
    </row>
    <row r="39" spans="1:12">
      <c r="A39" s="41" t="s">
        <v>777</v>
      </c>
      <c r="B39" s="41" t="s">
        <v>778</v>
      </c>
      <c r="C39" s="41" t="str">
        <f>_xlfn.LET(_xlpm.d,_xlfn.XLOOKUP(B39,システム要求!$A$4:$A$113,システム要求!$D$4:$D$113,""),_xlpm.m,_xlfn.XLOOKUP(B39,システム要求!$A$4:$A$113,システム要求!$C$4:$C$113,""),IF(_xlpm.d&lt;&gt;"",IFERROR(_xlfn.TEXTBEFORE(_xlpm.d,"："),IFERROR(_xlfn.TEXTBEFORE(_xlpm.d,":"),_xlpm.d)),TRIM(B39&amp;" "&amp;_xlpm.m)))</f>
        <v>法規(GB38031-2025)を満足させる</v>
      </c>
      <c r="D39" s="41" t="s">
        <v>779</v>
      </c>
      <c r="E39" s="42"/>
      <c r="F39" s="42"/>
      <c r="G39" s="42"/>
      <c r="H39" s="42"/>
      <c r="I39" s="42"/>
      <c r="J39" s="42"/>
      <c r="K39" s="42"/>
      <c r="L39" s="42"/>
    </row>
    <row r="40" spans="1:12">
      <c r="A40" s="41" t="s">
        <v>780</v>
      </c>
      <c r="B40" s="41" t="s">
        <v>781</v>
      </c>
      <c r="C40" s="41" t="str">
        <f>_xlfn.LET(_xlpm.d,_xlfn.XLOOKUP(B40,システム要求!$A$4:$A$113,システム要求!$D$4:$D$113,""),_xlpm.m,_xlfn.XLOOKUP(B40,システム要求!$A$4:$A$113,システム要求!$C$4:$C$113,""),IF(_xlpm.d&lt;&gt;"",IFERROR(_xlfn.TEXTBEFORE(_xlpm.d,"："),IFERROR(_xlfn.TEXTBEFORE(_xlpm.d,":"),_xlpm.d)),TRIM(B40&amp;" "&amp;_xlpm.m)))</f>
        <v>法規(GB38031-2025)を満足させる</v>
      </c>
      <c r="D40" s="41" t="s">
        <v>169</v>
      </c>
      <c r="E40" s="42"/>
      <c r="F40" s="42"/>
      <c r="G40" s="42"/>
      <c r="H40" s="42"/>
      <c r="I40" s="42"/>
      <c r="J40" s="42"/>
      <c r="K40" s="42"/>
      <c r="L40" s="42"/>
    </row>
    <row r="41" spans="1:12">
      <c r="A41" s="41" t="s">
        <v>782</v>
      </c>
      <c r="B41" s="41" t="s">
        <v>783</v>
      </c>
      <c r="C41" s="41" t="str">
        <f>_xlfn.LET(_xlpm.d,_xlfn.XLOOKUP(B41,システム要求!$A$4:$A$113,システム要求!$D$4:$D$113,""),_xlpm.m,_xlfn.XLOOKUP(B41,システム要求!$A$4:$A$113,システム要求!$C$4:$C$113,""),IF(_xlpm.d&lt;&gt;"",IFERROR(_xlfn.TEXTBEFORE(_xlpm.d,"："),IFERROR(_xlfn.TEXTBEFORE(_xlpm.d,":"),_xlpm.d)),TRIM(B41&amp;" "&amp;_xlpm.m)))</f>
        <v>法規(FMVSS305a/Part561)を満足させる</v>
      </c>
      <c r="D41" s="41" t="s">
        <v>171</v>
      </c>
      <c r="E41" s="42"/>
      <c r="F41" s="42"/>
      <c r="G41" s="42"/>
      <c r="H41" s="42"/>
      <c r="I41" s="42"/>
      <c r="J41" s="42"/>
      <c r="K41" s="42"/>
      <c r="L41" s="42"/>
    </row>
    <row r="42" spans="1:12">
      <c r="A42" s="41" t="s">
        <v>784</v>
      </c>
      <c r="B42" s="41" t="s">
        <v>785</v>
      </c>
      <c r="C42" s="41" t="str">
        <f>_xlfn.LET(_xlpm.d,_xlfn.XLOOKUP(B42,システム要求!$A$4:$A$113,システム要求!$D$4:$D$113,""),_xlpm.m,_xlfn.XLOOKUP(B42,システム要求!$A$4:$A$113,システム要求!$C$4:$C$113,""),IF(_xlpm.d&lt;&gt;"",IFERROR(_xlfn.TEXTBEFORE(_xlpm.d,"："),IFERROR(_xlfn.TEXTBEFORE(_xlpm.d,":"),_xlpm.d)),TRIM(B42&amp;" "&amp;_xlpm.m)))</f>
        <v>法規(FMVSS305a/Part561)を満足させる</v>
      </c>
      <c r="D42" s="41" t="s">
        <v>175</v>
      </c>
      <c r="E42" s="42"/>
      <c r="F42" s="42"/>
      <c r="G42" s="42"/>
      <c r="H42" s="42"/>
      <c r="I42" s="42"/>
      <c r="J42" s="42"/>
      <c r="K42" s="42"/>
      <c r="L42" s="42"/>
    </row>
    <row r="43" spans="1:12">
      <c r="A43" s="41" t="s">
        <v>786</v>
      </c>
      <c r="B43" s="41" t="s">
        <v>787</v>
      </c>
      <c r="C43" s="41" t="str">
        <f>_xlfn.LET(_xlpm.d,_xlfn.XLOOKUP(B43,システム要求!$A$4:$A$113,システム要求!$D$4:$D$113,""),_xlpm.m,_xlfn.XLOOKUP(B43,システム要求!$A$4:$A$113,システム要求!$C$4:$C$113,""),IF(_xlpm.d&lt;&gt;"",IFERROR(_xlfn.TEXTBEFORE(_xlpm.d,"："),IFERROR(_xlfn.TEXTBEFORE(_xlpm.d,":"),_xlpm.d)),TRIM(B43&amp;" "&amp;_xlpm.m)))</f>
        <v>排煙センサにて異常検知できること</v>
      </c>
      <c r="D43" s="41" t="s">
        <v>788</v>
      </c>
      <c r="E43" s="42"/>
      <c r="F43" s="42"/>
      <c r="G43" s="42"/>
      <c r="H43" s="42"/>
      <c r="I43" s="42"/>
      <c r="J43" s="42"/>
      <c r="K43" s="42"/>
      <c r="L43" s="42"/>
    </row>
    <row r="44" spans="1:12">
      <c r="A44" s="41" t="s">
        <v>789</v>
      </c>
      <c r="B44" s="41" t="s">
        <v>790</v>
      </c>
      <c r="C44" s="41" t="str">
        <f>_xlfn.LET(_xlpm.d,_xlfn.XLOOKUP(B44,システム要求!$A$4:$A$113,システム要求!$D$4:$D$113,""),_xlpm.m,_xlfn.XLOOKUP(B44,システム要求!$A$4:$A$113,システム要求!$C$4:$C$113,""),IF(_xlpm.d&lt;&gt;"",IFERROR(_xlfn.TEXTBEFORE(_xlpm.d,"："),IFERROR(_xlfn.TEXTBEFORE(_xlpm.d,":"),_xlpm.d)),TRIM(B44&amp;" "&amp;_xlpm.m)))</f>
        <v>排煙センサにて異常検知できること</v>
      </c>
      <c r="D44" s="41" t="s">
        <v>791</v>
      </c>
      <c r="E44" s="42"/>
      <c r="F44" s="42"/>
      <c r="G44" s="42"/>
      <c r="H44" s="42"/>
      <c r="I44" s="42"/>
      <c r="J44" s="42"/>
      <c r="K44" s="42"/>
      <c r="L44" s="42"/>
    </row>
    <row r="45" spans="1:12">
      <c r="A45" s="41" t="s">
        <v>792</v>
      </c>
      <c r="B45" s="41" t="s">
        <v>793</v>
      </c>
      <c r="C45" s="41" t="str">
        <f>_xlfn.LET(_xlpm.d,_xlfn.XLOOKUP(B45,システム要求!$A$4:$A$113,システム要求!$D$4:$D$113,""),_xlpm.m,_xlfn.XLOOKUP(B45,システム要求!$A$4:$A$113,システム要求!$C$4:$C$113,""),IF(_xlpm.d&lt;&gt;"",IFERROR(_xlfn.TEXTBEFORE(_xlpm.d,"："),IFERROR(_xlfn.TEXTBEFORE(_xlpm.d,":"),_xlpm.d)),TRIM(B45&amp;" "&amp;_xlpm.m)))</f>
        <v>BAT-042 パックシール性能</v>
      </c>
      <c r="D45" s="41" t="s">
        <v>794</v>
      </c>
      <c r="E45" s="42"/>
      <c r="F45" s="42"/>
      <c r="G45" s="42"/>
      <c r="H45" s="42"/>
      <c r="I45" s="42"/>
      <c r="J45" s="42"/>
      <c r="K45" s="42"/>
      <c r="L45" s="42"/>
    </row>
    <row r="46" spans="1:12">
      <c r="A46" s="41" t="s">
        <v>795</v>
      </c>
      <c r="B46" s="41" t="s">
        <v>796</v>
      </c>
      <c r="C46" s="41" t="str">
        <f>_xlfn.LET(_xlpm.d,_xlfn.XLOOKUP(B46,システム要求!$A$4:$A$113,システム要求!$D$4:$D$113,""),_xlpm.m,_xlfn.XLOOKUP(B46,システム要求!$A$4:$A$113,システム要求!$C$4:$C$113,""),IF(_xlpm.d&lt;&gt;"",IFERROR(_xlfn.TEXTBEFORE(_xlpm.d,"："),IFERROR(_xlfn.TEXTBEFORE(_xlpm.d,":"),_xlpm.d)),TRIM(B46&amp;" "&amp;_xlpm.m)))</f>
        <v>BS31 パック防水性能</v>
      </c>
      <c r="D46" s="41" t="s">
        <v>797</v>
      </c>
      <c r="E46" s="42"/>
      <c r="F46" s="42"/>
      <c r="G46" s="42"/>
      <c r="H46" s="42"/>
      <c r="I46" s="42"/>
      <c r="J46" s="42"/>
      <c r="K46" s="42"/>
      <c r="L46" s="42"/>
    </row>
    <row r="47" spans="1:12">
      <c r="A47" s="41" t="s">
        <v>798</v>
      </c>
      <c r="B47" s="41" t="s">
        <v>799</v>
      </c>
      <c r="C47" s="41" t="str">
        <f>_xlfn.LET(_xlpm.d,_xlfn.XLOOKUP(B47,システム要求!$A$4:$A$113,システム要求!$D$4:$D$113,""),_xlpm.m,_xlfn.XLOOKUP(B47,システム要求!$A$4:$A$113,システム要求!$C$4:$C$113,""),IF(_xlpm.d&lt;&gt;"",IFERROR(_xlfn.TEXTBEFORE(_xlpm.d,"："),IFERROR(_xlfn.TEXTBEFORE(_xlpm.d,":"),_xlpm.d)),TRIM(B47&amp;" "&amp;_xlpm.m)))</f>
        <v>BS32 水入り検知・防護性能</v>
      </c>
      <c r="D47" s="41" t="s">
        <v>800</v>
      </c>
      <c r="E47" s="42"/>
      <c r="F47" s="42"/>
      <c r="G47" s="42"/>
      <c r="H47" s="42"/>
      <c r="I47" s="42"/>
      <c r="J47" s="42"/>
      <c r="K47" s="42"/>
      <c r="L47" s="42"/>
    </row>
    <row r="48" spans="1:12">
      <c r="A48" s="41" t="s">
        <v>801</v>
      </c>
      <c r="B48" s="41" t="s">
        <v>802</v>
      </c>
      <c r="C48" s="41" t="str">
        <f>_xlfn.LET(_xlpm.d,_xlfn.XLOOKUP(B48,システム要求!$A$4:$A$113,システム要求!$D$4:$D$113,""),_xlpm.m,_xlfn.XLOOKUP(B48,システム要求!$A$4:$A$113,システム要求!$C$4:$C$113,""),IF(_xlpm.d&lt;&gt;"",IFERROR(_xlfn.TEXTBEFORE(_xlpm.d,"："),IFERROR(_xlfn.TEXTBEFORE(_xlpm.d,":"),_xlpm.d)),TRIM(B48&amp;" "&amp;_xlpm.m)))</f>
        <v>BS33 シール・呼吸膜性能</v>
      </c>
      <c r="D48" s="41" t="s">
        <v>803</v>
      </c>
      <c r="E48" s="42"/>
      <c r="F48" s="42"/>
      <c r="G48" s="42"/>
      <c r="H48" s="42"/>
      <c r="I48" s="42"/>
      <c r="J48" s="42"/>
      <c r="K48" s="42"/>
      <c r="L48" s="42"/>
    </row>
    <row r="49" spans="1:12">
      <c r="A49" s="41" t="s">
        <v>804</v>
      </c>
      <c r="B49" s="41" t="s">
        <v>805</v>
      </c>
      <c r="C49" s="41" t="str">
        <f>_xlfn.LET(_xlpm.d,_xlfn.XLOOKUP(B49,システム要求!$A$4:$A$113,システム要求!$D$4:$D$113,""),_xlpm.m,_xlfn.XLOOKUP(B49,システム要求!$A$4:$A$113,システム要求!$C$4:$C$113,""),IF(_xlpm.d&lt;&gt;"",IFERROR(_xlfn.TEXTBEFORE(_xlpm.d,"："),IFERROR(_xlfn.TEXTBEFORE(_xlpm.d,":"),_xlpm.d)),TRIM(B49&amp;" "&amp;_xlpm.m)))</f>
        <v>BAT-046</v>
      </c>
      <c r="D49" s="41" t="s">
        <v>806</v>
      </c>
      <c r="E49" s="42"/>
      <c r="F49" s="42"/>
      <c r="G49" s="42"/>
      <c r="H49" s="42"/>
      <c r="I49" s="42"/>
      <c r="J49" s="42"/>
      <c r="K49" s="42"/>
      <c r="L49" s="42"/>
    </row>
    <row r="50" spans="1:12">
      <c r="A50" s="41" t="s">
        <v>807</v>
      </c>
      <c r="B50" s="41" t="s">
        <v>808</v>
      </c>
      <c r="C50" s="41" t="str">
        <f>_xlfn.LET(_xlpm.d,_xlfn.XLOOKUP(B50,システム要求!$A$4:$A$113,システム要求!$D$4:$D$113,""),_xlpm.m,_xlfn.XLOOKUP(B50,システム要求!$A$4:$A$113,システム要求!$C$4:$C$113,""),IF(_xlpm.d&lt;&gt;"",IFERROR(_xlfn.TEXTBEFORE(_xlpm.d,"："),IFERROR(_xlfn.TEXTBEFORE(_xlpm.d,":"),_xlpm.d)),TRIM(B50&amp;" "&amp;_xlpm.m)))</f>
        <v>BS30 対象仕向地適合</v>
      </c>
      <c r="D50" s="41" t="s">
        <v>809</v>
      </c>
      <c r="E50" s="42"/>
      <c r="F50" s="42"/>
      <c r="G50" s="42"/>
      <c r="H50" s="42"/>
      <c r="I50" s="42"/>
      <c r="J50" s="42"/>
      <c r="K50" s="42"/>
      <c r="L50" s="42"/>
    </row>
    <row r="51" spans="1:12">
      <c r="A51" s="41" t="s">
        <v>810</v>
      </c>
      <c r="B51" s="41" t="s">
        <v>811</v>
      </c>
      <c r="C51" s="41" t="str">
        <f>_xlfn.LET(_xlpm.d,_xlfn.XLOOKUP(B51,システム要求!$A$4:$A$113,システム要求!$D$4:$D$113,""),_xlpm.m,_xlfn.XLOOKUP(B51,システム要求!$A$4:$A$113,システム要求!$C$4:$C$113,""),IF(_xlpm.d&lt;&gt;"",IFERROR(_xlfn.TEXTBEFORE(_xlpm.d,"："),IFERROR(_xlfn.TEXTBEFORE(_xlpm.d,":"),_xlpm.d)),TRIM(B51&amp;" "&amp;_xlpm.m)))</f>
        <v>BS43 環境負荷物質制限</v>
      </c>
      <c r="D51" s="41" t="s">
        <v>812</v>
      </c>
      <c r="E51" s="42"/>
      <c r="F51" s="42"/>
      <c r="G51" s="42"/>
      <c r="H51" s="42"/>
      <c r="I51" s="42"/>
      <c r="J51" s="42"/>
      <c r="K51" s="42"/>
      <c r="L51" s="42"/>
    </row>
    <row r="52" spans="1:12">
      <c r="A52" s="41" t="s">
        <v>813</v>
      </c>
      <c r="B52" s="41" t="s">
        <v>814</v>
      </c>
      <c r="C52" s="41" t="str">
        <f>_xlfn.LET(_xlpm.d,_xlfn.XLOOKUP(B52,システム要求!$A$4:$A$113,システム要求!$D$4:$D$113,""),_xlpm.m,_xlfn.XLOOKUP(B52,システム要求!$A$4:$A$113,システム要求!$C$4:$C$113,""),IF(_xlpm.d&lt;&gt;"",IFERROR(_xlfn.TEXTBEFORE(_xlpm.d,"："),IFERROR(_xlfn.TEXTBEFORE(_xlpm.d,":"),_xlpm.d)),TRIM(B52&amp;" "&amp;_xlpm.m)))</f>
        <v>BS44 材料マーキング・難燃性・VOC規格適合</v>
      </c>
      <c r="D52" s="41" t="s">
        <v>815</v>
      </c>
      <c r="E52" s="42"/>
      <c r="F52" s="42"/>
      <c r="G52" s="42"/>
      <c r="H52" s="42"/>
      <c r="I52" s="42"/>
      <c r="J52" s="42"/>
      <c r="K52" s="42"/>
      <c r="L52" s="42"/>
    </row>
    <row r="53" spans="1:12">
      <c r="A53" s="41" t="s">
        <v>816</v>
      </c>
      <c r="B53" s="41" t="s">
        <v>817</v>
      </c>
      <c r="C53" s="41" t="str">
        <f>_xlfn.LET(_xlpm.d,_xlfn.XLOOKUP(B53,システム要求!$A$4:$A$113,システム要求!$D$4:$D$113,""),_xlpm.m,_xlfn.XLOOKUP(B53,システム要求!$A$4:$A$113,システム要求!$C$4:$C$113,""),IF(_xlpm.d&lt;&gt;"",IFERROR(_xlfn.TEXTBEFORE(_xlpm.d,"："),IFERROR(_xlfn.TEXTBEFORE(_xlpm.d,":"),_xlpm.d)),TRIM(B53&amp;" "&amp;_xlpm.m)))</f>
        <v>BS42 リサイクル容易性</v>
      </c>
      <c r="D53" s="41" t="s">
        <v>196</v>
      </c>
      <c r="E53" s="42"/>
      <c r="F53" s="42"/>
      <c r="G53" s="42"/>
      <c r="H53" s="42"/>
      <c r="I53" s="42"/>
      <c r="J53" s="42"/>
      <c r="K53" s="42"/>
      <c r="L53" s="42"/>
    </row>
    <row r="54" spans="1:12">
      <c r="A54" s="41" t="s">
        <v>818</v>
      </c>
      <c r="B54" s="41" t="s">
        <v>819</v>
      </c>
      <c r="C54" s="41" t="str">
        <f>_xlfn.LET(_xlpm.d,_xlfn.XLOOKUP(B54,システム要求!$A$4:$A$113,システム要求!$D$4:$D$113,""),_xlpm.m,_xlfn.XLOOKUP(B54,システム要求!$A$4:$A$113,システム要求!$C$4:$C$113,""),IF(_xlpm.d&lt;&gt;"",IFERROR(_xlfn.TEXTBEFORE(_xlpm.d,"："),IFERROR(_xlfn.TEXTBEFORE(_xlpm.d,":"),_xlpm.d)),TRIM(B54&amp;" "&amp;_xlpm.m)))</f>
        <v>BAT-051</v>
      </c>
      <c r="D54" s="41" t="s">
        <v>820</v>
      </c>
      <c r="E54" s="42"/>
      <c r="F54" s="42"/>
      <c r="G54" s="42"/>
      <c r="H54" s="42"/>
      <c r="I54" s="42"/>
      <c r="J54" s="42"/>
      <c r="K54" s="42"/>
      <c r="L54" s="42"/>
    </row>
    <row r="55" spans="1:12">
      <c r="A55" s="41" t="s">
        <v>821</v>
      </c>
      <c r="B55" s="41" t="s">
        <v>822</v>
      </c>
      <c r="C55" s="41" t="str">
        <f>_xlfn.LET(_xlpm.d,_xlfn.XLOOKUP(B55,システム要求!$A$4:$A$113,システム要求!$D$4:$D$113,""),_xlpm.m,_xlfn.XLOOKUP(B55,システム要求!$A$4:$A$113,システム要求!$C$4:$C$113,""),IF(_xlpm.d&lt;&gt;"",IFERROR(_xlfn.TEXTBEFORE(_xlpm.d,"："),IFERROR(_xlfn.TEXTBEFORE(_xlpm.d,":"),_xlpm.d)),TRIM(B55&amp;" "&amp;_xlpm.m)))</f>
        <v>BAT-052</v>
      </c>
      <c r="D55" s="41" t="s">
        <v>823</v>
      </c>
      <c r="E55" s="42"/>
      <c r="F55" s="42"/>
      <c r="G55" s="42"/>
      <c r="H55" s="42"/>
      <c r="I55" s="42"/>
      <c r="J55" s="42"/>
      <c r="K55" s="42"/>
      <c r="L55" s="42"/>
    </row>
    <row r="56" spans="1:12">
      <c r="A56" s="41" t="s">
        <v>824</v>
      </c>
      <c r="B56" s="41" t="s">
        <v>825</v>
      </c>
      <c r="C56" s="41" t="str">
        <f>_xlfn.LET(_xlpm.d,_xlfn.XLOOKUP(B56,システム要求!$A$4:$A$113,システム要求!$D$4:$D$113,""),_xlpm.m,_xlfn.XLOOKUP(B56,システム要求!$A$4:$A$113,システム要求!$C$4:$C$113,""),IF(_xlpm.d&lt;&gt;"",IFERROR(_xlfn.TEXTBEFORE(_xlpm.d,"："),IFERROR(_xlfn.TEXTBEFORE(_xlpm.d,":"),_xlpm.d)),TRIM(B56&amp;" "&amp;_xlpm.m)))</f>
        <v>K-2 冷却性能</v>
      </c>
      <c r="D56" s="41" t="s">
        <v>826</v>
      </c>
      <c r="E56" s="42"/>
      <c r="F56" s="42"/>
      <c r="G56" s="42"/>
      <c r="H56" s="42"/>
      <c r="I56" s="42"/>
      <c r="J56" s="42"/>
      <c r="K56" s="42"/>
      <c r="L56" s="42"/>
    </row>
    <row r="57" spans="1:12">
      <c r="A57" s="41" t="s">
        <v>827</v>
      </c>
      <c r="B57" s="41" t="s">
        <v>828</v>
      </c>
      <c r="C57" s="41" t="str">
        <f>_xlfn.LET(_xlpm.d,_xlfn.XLOOKUP(B57,システム要求!$A$4:$A$113,システム要求!$D$4:$D$113,""),_xlpm.m,_xlfn.XLOOKUP(B57,システム要求!$A$4:$A$113,システム要求!$C$4:$C$113,""),IF(_xlpm.d&lt;&gt;"",IFERROR(_xlfn.TEXTBEFORE(_xlpm.d,"："),IFERROR(_xlfn.TEXTBEFORE(_xlpm.d,":"),_xlpm.d)),TRIM(B57&amp;" "&amp;_xlpm.m)))</f>
        <v>BS02 冷却性能</v>
      </c>
      <c r="D57" s="41" t="s">
        <v>829</v>
      </c>
      <c r="E57" s="42"/>
      <c r="F57" s="42"/>
      <c r="G57" s="42"/>
      <c r="H57" s="42"/>
      <c r="I57" s="42"/>
      <c r="J57" s="42"/>
      <c r="K57" s="42"/>
      <c r="L57" s="42"/>
    </row>
    <row r="58" spans="1:12">
      <c r="A58" s="41" t="s">
        <v>830</v>
      </c>
      <c r="B58" s="41" t="s">
        <v>831</v>
      </c>
      <c r="C58" s="41" t="str">
        <f>_xlfn.LET(_xlpm.d,_xlfn.XLOOKUP(B58,システム要求!$A$4:$A$113,システム要求!$D$4:$D$113,""),_xlpm.m,_xlfn.XLOOKUP(B58,システム要求!$A$4:$A$113,システム要求!$C$4:$C$113,""),IF(_xlpm.d&lt;&gt;"",IFERROR(_xlfn.TEXTBEFORE(_xlpm.d,"："),IFERROR(_xlfn.TEXTBEFORE(_xlpm.d,":"),_xlpm.d)),TRIM(B58&amp;" "&amp;_xlpm.m)))</f>
        <v>BS24 冷却方式仕様</v>
      </c>
      <c r="D58" s="41" t="s">
        <v>200</v>
      </c>
      <c r="E58" s="42"/>
      <c r="F58" s="42"/>
      <c r="G58" s="42"/>
      <c r="H58" s="42"/>
      <c r="I58" s="42"/>
      <c r="J58" s="42"/>
      <c r="K58" s="42"/>
      <c r="L58" s="42"/>
    </row>
    <row r="59" spans="1:12">
      <c r="A59" s="41" t="s">
        <v>832</v>
      </c>
      <c r="B59" s="41" t="s">
        <v>833</v>
      </c>
      <c r="C59" s="41" t="str">
        <f>_xlfn.LET(_xlpm.d,_xlfn.XLOOKUP(B59,システム要求!$A$4:$A$113,システム要求!$D$4:$D$113,""),_xlpm.m,_xlfn.XLOOKUP(B59,システム要求!$A$4:$A$113,システム要求!$C$4:$C$113,""),IF(_xlpm.d&lt;&gt;"",IFERROR(_xlfn.TEXTBEFORE(_xlpm.d,"："),IFERROR(_xlfn.TEXTBEFORE(_xlpm.d,":"),_xlpm.d)),TRIM(B59&amp;" "&amp;_xlpm.m)))</f>
        <v>BS26 冷却性能・調停ロジック</v>
      </c>
      <c r="D59" s="41" t="s">
        <v>834</v>
      </c>
      <c r="E59" s="42"/>
      <c r="F59" s="42"/>
      <c r="G59" s="42"/>
      <c r="H59" s="42"/>
      <c r="I59" s="42"/>
      <c r="J59" s="42"/>
      <c r="K59" s="42"/>
      <c r="L59" s="42"/>
    </row>
    <row r="60" spans="1:12">
      <c r="A60" s="41" t="s">
        <v>835</v>
      </c>
      <c r="B60" s="41" t="s">
        <v>836</v>
      </c>
      <c r="C60" s="41" t="str">
        <f>_xlfn.LET(_xlpm.d,_xlfn.XLOOKUP(B60,システム要求!$A$4:$A$113,システム要求!$D$4:$D$113,""),_xlpm.m,_xlfn.XLOOKUP(B60,システム要求!$A$4:$A$113,システム要求!$C$4:$C$113,""),IF(_xlpm.d&lt;&gt;"",IFERROR(_xlfn.TEXTBEFORE(_xlpm.d,"："),IFERROR(_xlfn.TEXTBEFORE(_xlpm.d,":"),_xlpm.d)),TRIM(B60&amp;" "&amp;_xlpm.m)))</f>
        <v>BS01 入出力</v>
      </c>
      <c r="D60" s="41" t="s">
        <v>837</v>
      </c>
      <c r="E60" s="43"/>
      <c r="F60" s="43"/>
      <c r="G60" s="43"/>
      <c r="H60" s="43"/>
      <c r="I60" s="43"/>
      <c r="J60" s="43"/>
      <c r="K60" s="43"/>
      <c r="L60" s="43"/>
    </row>
    <row r="61" spans="1:12">
      <c r="A61" s="41" t="s">
        <v>838</v>
      </c>
      <c r="B61" s="41" t="s">
        <v>839</v>
      </c>
      <c r="C61" s="41" t="str">
        <f>_xlfn.LET(_xlpm.d,_xlfn.XLOOKUP(B61,システム要求!$A$4:$A$113,システム要求!$D$4:$D$113,""),_xlpm.m,_xlfn.XLOOKUP(B61,システム要求!$A$4:$A$113,システム要求!$C$4:$C$113,""),IF(_xlpm.d&lt;&gt;"",IFERROR(_xlfn.TEXTBEFORE(_xlpm.d,"："),IFERROR(_xlfn.TEXTBEFORE(_xlpm.d,":"),_xlpm.d)),TRIM(B61&amp;" "&amp;_xlpm.m)))</f>
        <v>BS03 通電電流</v>
      </c>
      <c r="D61" s="41" t="s">
        <v>840</v>
      </c>
      <c r="E61" s="43"/>
      <c r="F61" s="43"/>
      <c r="G61" s="43"/>
      <c r="H61" s="43"/>
      <c r="I61" s="43"/>
      <c r="J61" s="43"/>
      <c r="K61" s="43"/>
      <c r="L61" s="43"/>
    </row>
    <row r="62" spans="1:12">
      <c r="A62" s="41" t="s">
        <v>841</v>
      </c>
      <c r="B62" s="41" t="s">
        <v>842</v>
      </c>
      <c r="C62" s="41" t="str">
        <f>_xlfn.LET(_xlpm.d,_xlfn.XLOOKUP(B62,システム要求!$A$4:$A$113,システム要求!$D$4:$D$113,""),_xlpm.m,_xlfn.XLOOKUP(B62,システム要求!$A$4:$A$113,システム要求!$C$4:$C$113,""),IF(_xlpm.d&lt;&gt;"",IFERROR(_xlfn.TEXTBEFORE(_xlpm.d,"："),IFERROR(_xlfn.TEXTBEFORE(_xlpm.d,":"),_xlpm.d)),TRIM(B62&amp;" "&amp;_xlpm.m)))</f>
        <v>BS04 急速充電性能</v>
      </c>
      <c r="D62" s="41" t="s">
        <v>636</v>
      </c>
      <c r="E62" s="43"/>
      <c r="F62" s="43"/>
      <c r="G62" s="43"/>
      <c r="H62" s="43"/>
      <c r="I62" s="43"/>
      <c r="J62" s="43"/>
      <c r="K62" s="43"/>
      <c r="L62" s="43"/>
    </row>
    <row r="63" spans="1:12">
      <c r="A63" s="41" t="s">
        <v>843</v>
      </c>
      <c r="B63" s="41" t="s">
        <v>844</v>
      </c>
      <c r="C63" s="41" t="str">
        <f>_xlfn.LET(_xlpm.d,_xlfn.XLOOKUP(B63,システム要求!$A$4:$A$113,システム要求!$D$4:$D$113,""),_xlpm.m,_xlfn.XLOOKUP(B63,システム要求!$A$4:$A$113,システム要求!$C$4:$C$113,""),IF(_xlpm.d&lt;&gt;"",IFERROR(_xlfn.TEXTBEFORE(_xlpm.d,"："),IFERROR(_xlfn.TEXTBEFORE(_xlpm.d,":"),_xlpm.d)),TRIM(B63&amp;" "&amp;_xlpm.m)))</f>
        <v>BS05 電圧</v>
      </c>
      <c r="D63" s="41" t="s">
        <v>637</v>
      </c>
      <c r="E63" s="43"/>
      <c r="F63" s="43"/>
      <c r="G63" s="43"/>
      <c r="H63" s="43"/>
      <c r="I63" s="43"/>
      <c r="J63" s="43"/>
      <c r="K63" s="43"/>
      <c r="L63" s="43"/>
    </row>
    <row r="64" spans="1:12">
      <c r="A64" s="41" t="s">
        <v>845</v>
      </c>
      <c r="B64" s="41" t="s">
        <v>846</v>
      </c>
      <c r="C64" s="41" t="str">
        <f>_xlfn.LET(_xlpm.d,_xlfn.XLOOKUP(B64,システム要求!$A$4:$A$113,システム要求!$D$4:$D$113,""),_xlpm.m,_xlfn.XLOOKUP(B64,システム要求!$A$4:$A$113,システム要求!$C$4:$C$113,""),IF(_xlpm.d&lt;&gt;"",IFERROR(_xlfn.TEXTBEFORE(_xlpm.d,"："),IFERROR(_xlfn.TEXTBEFORE(_xlpm.d,":"),_xlpm.d)),TRIM(B64&amp;" "&amp;_xlpm.m)))</f>
        <v>BS06 容量</v>
      </c>
      <c r="D64" s="41" t="s">
        <v>211</v>
      </c>
      <c r="E64" s="43"/>
      <c r="F64" s="43"/>
      <c r="G64" s="43"/>
      <c r="H64" s="43"/>
      <c r="I64" s="43"/>
      <c r="J64" s="43"/>
      <c r="K64" s="43"/>
      <c r="L64" s="43"/>
    </row>
    <row r="65" spans="1:12">
      <c r="A65" s="41" t="s">
        <v>847</v>
      </c>
      <c r="B65" s="41" t="s">
        <v>848</v>
      </c>
      <c r="C65" s="41" t="str">
        <f>_xlfn.LET(_xlpm.d,_xlfn.XLOOKUP(B65,システム要求!$A$4:$A$113,システム要求!$D$4:$D$113,""),_xlpm.m,_xlfn.XLOOKUP(B65,システム要求!$A$4:$A$113,システム要求!$C$4:$C$113,""),IF(_xlpm.d&lt;&gt;"",IFERROR(_xlfn.TEXTBEFORE(_xlpm.d,"："),IFERROR(_xlfn.TEXTBEFORE(_xlpm.d,":"),_xlpm.d)),TRIM(B65&amp;" "&amp;_xlpm.m)))</f>
        <v>BS07 寿命</v>
      </c>
      <c r="D65" s="41" t="s">
        <v>849</v>
      </c>
      <c r="E65" s="43"/>
      <c r="F65" s="43"/>
      <c r="G65" s="43"/>
      <c r="H65" s="43"/>
      <c r="I65" s="43"/>
      <c r="J65" s="43"/>
      <c r="K65" s="43"/>
      <c r="L65" s="43"/>
    </row>
  </sheetData>
  <mergeCells count="2">
    <mergeCell ref="A1:K1"/>
    <mergeCell ref="A2:K2"/>
  </mergeCells>
  <phoneticPr fontId="6"/>
  <dataValidations count="3">
    <dataValidation type="list" allowBlank="1" sqref="D2:D3 D66:D197 I4:I65 H66:H197" xr:uid="{2701CFAA-0A98-46AD-B6DB-A6F19A8DFD67}">
      <formula1>"+,-,その他"</formula1>
    </dataValidation>
    <dataValidation allowBlank="1" sqref="C24 D4:D65" xr:uid="{3D0B98D2-D2F7-4E49-A7EF-EC60BEDB71D1}"/>
    <dataValidation type="list" allowBlank="1" sqref="I66:I197 J4:J65" xr:uid="{C4EF156A-B568-4B7B-880D-390C3693086D}">
      <formula1>"From→To,双方向,To→From"</formula1>
    </dataValidation>
  </dataValidations>
  <pageMargins left="0.75" right="0.75" top="1" bottom="1" header="0.5" footer="0.5"/>
  <pageSetup paperSize="9" orientation="portrait" horizontalDpi="1200" verticalDpi="1200" r:id="rId1"/>
  <headerFooter>
    <oddHeader>&amp;C&amp;"Aptos"&amp;10&amp;K000000 PROTECTED 関係者外秘&amp;1#_x000D_</oddHead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AB081-72CF-4D0C-B950-DAED6B90C858}">
  <dimension ref="A1:B44"/>
  <sheetViews>
    <sheetView workbookViewId="0">
      <selection activeCell="D12" sqref="D12"/>
    </sheetView>
  </sheetViews>
  <sheetFormatPr defaultRowHeight="18"/>
  <cols>
    <col min="1" max="1" width="7.58203125" bestFit="1" customWidth="1"/>
    <col min="2" max="2" width="63.33203125" customWidth="1"/>
  </cols>
  <sheetData>
    <row r="1" spans="1:2">
      <c r="B1" s="29" t="s">
        <v>850</v>
      </c>
    </row>
    <row r="2" spans="1:2">
      <c r="B2" s="49" t="s">
        <v>851</v>
      </c>
    </row>
    <row r="3" spans="1:2">
      <c r="A3" s="124" t="s">
        <v>852</v>
      </c>
      <c r="B3" t="s">
        <v>853</v>
      </c>
    </row>
    <row r="4" spans="1:2">
      <c r="A4" s="124" t="s">
        <v>854</v>
      </c>
      <c r="B4" t="s">
        <v>855</v>
      </c>
    </row>
    <row r="5" spans="1:2">
      <c r="A5" s="124" t="s">
        <v>856</v>
      </c>
      <c r="B5" t="s">
        <v>857</v>
      </c>
    </row>
    <row r="6" spans="1:2">
      <c r="A6" s="124" t="s">
        <v>858</v>
      </c>
      <c r="B6" t="s">
        <v>859</v>
      </c>
    </row>
    <row r="7" spans="1:2">
      <c r="A7" s="124" t="s">
        <v>860</v>
      </c>
      <c r="B7" t="s">
        <v>861</v>
      </c>
    </row>
    <row r="8" spans="1:2">
      <c r="A8" s="124" t="s">
        <v>739</v>
      </c>
      <c r="B8" t="s">
        <v>862</v>
      </c>
    </row>
    <row r="9" spans="1:2">
      <c r="A9" s="124" t="s">
        <v>863</v>
      </c>
      <c r="B9" t="s">
        <v>864</v>
      </c>
    </row>
    <row r="10" spans="1:2">
      <c r="A10" s="124" t="s">
        <v>865</v>
      </c>
      <c r="B10" t="s">
        <v>866</v>
      </c>
    </row>
    <row r="11" spans="1:2">
      <c r="A11" s="124" t="s">
        <v>867</v>
      </c>
      <c r="B11" t="s">
        <v>868</v>
      </c>
    </row>
    <row r="12" spans="1:2">
      <c r="A12" s="124" t="s">
        <v>869</v>
      </c>
      <c r="B12" t="s">
        <v>870</v>
      </c>
    </row>
    <row r="13" spans="1:2">
      <c r="A13" s="124" t="s">
        <v>871</v>
      </c>
      <c r="B13" s="49" t="s">
        <v>872</v>
      </c>
    </row>
    <row r="14" spans="1:2">
      <c r="A14" s="124" t="s">
        <v>738</v>
      </c>
      <c r="B14" t="s">
        <v>873</v>
      </c>
    </row>
    <row r="15" spans="1:2">
      <c r="A15" s="124" t="s">
        <v>874</v>
      </c>
      <c r="B15" t="s">
        <v>875</v>
      </c>
    </row>
    <row r="16" spans="1:2">
      <c r="A16" s="124" t="s">
        <v>737</v>
      </c>
      <c r="B16" t="s">
        <v>876</v>
      </c>
    </row>
    <row r="17" spans="1:2">
      <c r="A17" s="124" t="s">
        <v>877</v>
      </c>
      <c r="B17" t="s">
        <v>878</v>
      </c>
    </row>
    <row r="18" spans="1:2">
      <c r="A18" s="124" t="s">
        <v>879</v>
      </c>
      <c r="B18" t="s">
        <v>880</v>
      </c>
    </row>
    <row r="19" spans="1:2">
      <c r="A19" s="124" t="s">
        <v>881</v>
      </c>
      <c r="B19" t="s">
        <v>882</v>
      </c>
    </row>
    <row r="20" spans="1:2">
      <c r="A20" s="124" t="s">
        <v>883</v>
      </c>
      <c r="B20" t="s">
        <v>884</v>
      </c>
    </row>
    <row r="21" spans="1:2">
      <c r="A21" s="124" t="s">
        <v>871</v>
      </c>
      <c r="B21" s="49" t="s">
        <v>885</v>
      </c>
    </row>
    <row r="22" spans="1:2">
      <c r="A22" s="124" t="s">
        <v>886</v>
      </c>
      <c r="B22" t="s">
        <v>887</v>
      </c>
    </row>
    <row r="23" spans="1:2">
      <c r="A23" s="124" t="s">
        <v>888</v>
      </c>
      <c r="B23" t="s">
        <v>889</v>
      </c>
    </row>
    <row r="24" spans="1:2">
      <c r="A24" s="124" t="s">
        <v>890</v>
      </c>
      <c r="B24" t="s">
        <v>891</v>
      </c>
    </row>
    <row r="25" spans="1:2">
      <c r="A25" s="124" t="s">
        <v>892</v>
      </c>
      <c r="B25" t="s">
        <v>893</v>
      </c>
    </row>
    <row r="26" spans="1:2">
      <c r="A26" s="124" t="s">
        <v>894</v>
      </c>
      <c r="B26" t="s">
        <v>895</v>
      </c>
    </row>
    <row r="27" spans="1:2">
      <c r="A27" s="124" t="s">
        <v>896</v>
      </c>
      <c r="B27" t="s">
        <v>897</v>
      </c>
    </row>
    <row r="28" spans="1:2">
      <c r="A28" s="124" t="s">
        <v>871</v>
      </c>
      <c r="B28" s="49" t="s">
        <v>898</v>
      </c>
    </row>
    <row r="29" spans="1:2">
      <c r="A29" s="124" t="s">
        <v>899</v>
      </c>
      <c r="B29" t="s">
        <v>900</v>
      </c>
    </row>
    <row r="30" spans="1:2">
      <c r="A30" s="124" t="s">
        <v>901</v>
      </c>
      <c r="B30" t="s">
        <v>902</v>
      </c>
    </row>
    <row r="31" spans="1:2">
      <c r="A31" s="124" t="s">
        <v>903</v>
      </c>
      <c r="B31" t="s">
        <v>904</v>
      </c>
    </row>
    <row r="32" spans="1:2">
      <c r="A32" s="124" t="s">
        <v>905</v>
      </c>
      <c r="B32" t="s">
        <v>906</v>
      </c>
    </row>
    <row r="33" spans="1:2">
      <c r="A33" s="124" t="s">
        <v>907</v>
      </c>
      <c r="B33" t="s">
        <v>908</v>
      </c>
    </row>
    <row r="34" spans="1:2">
      <c r="A34" s="124" t="s">
        <v>909</v>
      </c>
      <c r="B34" t="s">
        <v>910</v>
      </c>
    </row>
    <row r="35" spans="1:2">
      <c r="A35" s="124" t="s">
        <v>911</v>
      </c>
      <c r="B35" t="s">
        <v>912</v>
      </c>
    </row>
    <row r="36" spans="1:2">
      <c r="A36" s="124" t="s">
        <v>913</v>
      </c>
      <c r="B36" t="s">
        <v>914</v>
      </c>
    </row>
    <row r="37" spans="1:2">
      <c r="A37" s="124" t="s">
        <v>915</v>
      </c>
      <c r="B37" t="s">
        <v>916</v>
      </c>
    </row>
    <row r="38" spans="1:2">
      <c r="A38" s="124" t="s">
        <v>917</v>
      </c>
      <c r="B38" t="s">
        <v>918</v>
      </c>
    </row>
    <row r="39" spans="1:2">
      <c r="A39" s="124" t="s">
        <v>919</v>
      </c>
      <c r="B39" t="s">
        <v>920</v>
      </c>
    </row>
    <row r="40" spans="1:2">
      <c r="A40" s="124" t="s">
        <v>921</v>
      </c>
      <c r="B40" t="s">
        <v>922</v>
      </c>
    </row>
    <row r="41" spans="1:2">
      <c r="A41" s="124" t="s">
        <v>923</v>
      </c>
      <c r="B41" t="s">
        <v>924</v>
      </c>
    </row>
    <row r="42" spans="1:2">
      <c r="A42" s="124" t="s">
        <v>925</v>
      </c>
      <c r="B42" t="s">
        <v>926</v>
      </c>
    </row>
    <row r="43" spans="1:2">
      <c r="A43" s="124" t="s">
        <v>927</v>
      </c>
      <c r="B43" t="s">
        <v>928</v>
      </c>
    </row>
    <row r="44" spans="1:2">
      <c r="A44" s="124" t="s">
        <v>929</v>
      </c>
      <c r="B44" t="s">
        <v>930</v>
      </c>
    </row>
  </sheetData>
  <phoneticPr fontId="6"/>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302C3-85CA-49C1-A595-128DE44373C9}">
  <dimension ref="A1:G20"/>
  <sheetViews>
    <sheetView zoomScale="70" zoomScaleNormal="70" workbookViewId="0">
      <selection activeCell="A5" sqref="A5:XFD5"/>
    </sheetView>
  </sheetViews>
  <sheetFormatPr defaultRowHeight="18"/>
  <cols>
    <col min="1" max="2" width="11.58203125" style="94" customWidth="1"/>
    <col min="3" max="3" width="30" style="94" customWidth="1"/>
    <col min="4" max="4" width="36.58203125" style="94" customWidth="1"/>
    <col min="5" max="5" width="8.33203125" style="97" customWidth="1"/>
    <col min="6" max="6" width="40" style="94" customWidth="1"/>
    <col min="7" max="7" width="36.58203125" style="94" customWidth="1"/>
  </cols>
  <sheetData>
    <row r="1" spans="1:7" ht="22">
      <c r="A1" s="166" t="s">
        <v>931</v>
      </c>
      <c r="B1" s="167"/>
      <c r="C1" s="167"/>
      <c r="D1" s="167"/>
      <c r="E1" s="167"/>
      <c r="F1" s="167"/>
      <c r="G1" s="167"/>
    </row>
    <row r="2" spans="1:7">
      <c r="A2" s="168" t="s">
        <v>932</v>
      </c>
      <c r="B2" s="169"/>
      <c r="C2" s="169"/>
      <c r="D2" s="169"/>
      <c r="E2" s="169"/>
      <c r="F2" s="169"/>
      <c r="G2" s="169"/>
    </row>
    <row r="4" spans="1:7">
      <c r="A4" s="87" t="s">
        <v>933</v>
      </c>
      <c r="B4" s="87" t="s">
        <v>934</v>
      </c>
      <c r="C4" s="87" t="s">
        <v>935</v>
      </c>
      <c r="D4" s="87" t="s">
        <v>936</v>
      </c>
      <c r="E4" s="87" t="s">
        <v>937</v>
      </c>
      <c r="F4" s="87" t="s">
        <v>938</v>
      </c>
      <c r="G4" s="87" t="s">
        <v>939</v>
      </c>
    </row>
    <row r="5" spans="1:7" ht="30">
      <c r="A5" s="88" t="s">
        <v>940</v>
      </c>
      <c r="B5" s="89" t="s">
        <v>941</v>
      </c>
      <c r="C5" s="89" t="s">
        <v>942</v>
      </c>
      <c r="D5" s="89" t="s">
        <v>943</v>
      </c>
      <c r="E5" s="95">
        <v>2</v>
      </c>
      <c r="F5" s="89" t="s">
        <v>944</v>
      </c>
      <c r="G5" s="90" t="s">
        <v>945</v>
      </c>
    </row>
    <row r="6" spans="1:7" ht="30">
      <c r="A6" s="98" t="s">
        <v>946</v>
      </c>
      <c r="B6" s="99" t="s">
        <v>941</v>
      </c>
      <c r="C6" s="99" t="s">
        <v>947</v>
      </c>
      <c r="D6" s="106" t="s">
        <v>948</v>
      </c>
      <c r="E6" s="100">
        <v>2</v>
      </c>
      <c r="F6" s="99" t="s">
        <v>500</v>
      </c>
      <c r="G6" s="101" t="s">
        <v>945</v>
      </c>
    </row>
    <row r="7" spans="1:7" ht="30">
      <c r="A7" s="91" t="s">
        <v>949</v>
      </c>
      <c r="B7" s="92" t="s">
        <v>950</v>
      </c>
      <c r="C7" s="92" t="s">
        <v>951</v>
      </c>
      <c r="D7" s="92" t="s">
        <v>952</v>
      </c>
      <c r="E7" s="96">
        <v>6</v>
      </c>
      <c r="F7" s="92" t="s">
        <v>953</v>
      </c>
      <c r="G7" s="93" t="s">
        <v>954</v>
      </c>
    </row>
    <row r="8" spans="1:7" ht="30">
      <c r="A8" s="98" t="s">
        <v>955</v>
      </c>
      <c r="B8" s="99" t="s">
        <v>950</v>
      </c>
      <c r="C8" s="99" t="s">
        <v>956</v>
      </c>
      <c r="D8" s="99" t="s">
        <v>957</v>
      </c>
      <c r="E8" s="100">
        <v>4</v>
      </c>
      <c r="F8" s="99" t="s">
        <v>958</v>
      </c>
      <c r="G8" s="101" t="s">
        <v>959</v>
      </c>
    </row>
    <row r="9" spans="1:7" ht="45">
      <c r="A9" s="91" t="s">
        <v>960</v>
      </c>
      <c r="B9" s="92" t="s">
        <v>950</v>
      </c>
      <c r="C9" s="92" t="s">
        <v>961</v>
      </c>
      <c r="D9" s="92" t="s">
        <v>962</v>
      </c>
      <c r="E9" s="96">
        <v>8</v>
      </c>
      <c r="F9" s="92" t="s">
        <v>963</v>
      </c>
      <c r="G9" s="93" t="s">
        <v>964</v>
      </c>
    </row>
    <row r="10" spans="1:7" ht="30">
      <c r="A10" s="98" t="s">
        <v>965</v>
      </c>
      <c r="B10" s="99" t="s">
        <v>950</v>
      </c>
      <c r="C10" s="99" t="s">
        <v>966</v>
      </c>
      <c r="D10" s="99" t="s">
        <v>967</v>
      </c>
      <c r="E10" s="100">
        <v>3</v>
      </c>
      <c r="F10" s="99" t="s">
        <v>968</v>
      </c>
      <c r="G10" s="101" t="s">
        <v>969</v>
      </c>
    </row>
    <row r="11" spans="1:7" ht="45">
      <c r="A11" s="91" t="s">
        <v>970</v>
      </c>
      <c r="B11" s="92" t="s">
        <v>950</v>
      </c>
      <c r="C11" s="92" t="s">
        <v>971</v>
      </c>
      <c r="D11" s="92" t="s">
        <v>972</v>
      </c>
      <c r="E11" s="96">
        <v>9</v>
      </c>
      <c r="F11" s="92" t="s">
        <v>973</v>
      </c>
      <c r="G11" s="93" t="s">
        <v>974</v>
      </c>
    </row>
    <row r="12" spans="1:7" ht="30">
      <c r="A12" s="98" t="s">
        <v>975</v>
      </c>
      <c r="B12" s="99" t="s">
        <v>950</v>
      </c>
      <c r="C12" s="99" t="s">
        <v>976</v>
      </c>
      <c r="D12" s="99" t="s">
        <v>977</v>
      </c>
      <c r="E12" s="100">
        <v>4</v>
      </c>
      <c r="F12" s="99" t="s">
        <v>978</v>
      </c>
      <c r="G12" s="101" t="s">
        <v>979</v>
      </c>
    </row>
    <row r="13" spans="1:7" ht="30">
      <c r="A13" s="91" t="s">
        <v>980</v>
      </c>
      <c r="B13" s="92" t="s">
        <v>138</v>
      </c>
      <c r="C13" s="92" t="s">
        <v>981</v>
      </c>
      <c r="D13" s="92" t="s">
        <v>982</v>
      </c>
      <c r="E13" s="96">
        <v>5</v>
      </c>
      <c r="F13" s="92" t="s">
        <v>983</v>
      </c>
      <c r="G13" s="93" t="s">
        <v>984</v>
      </c>
    </row>
    <row r="14" spans="1:7" ht="60">
      <c r="A14" s="98" t="s">
        <v>985</v>
      </c>
      <c r="B14" s="99" t="s">
        <v>138</v>
      </c>
      <c r="C14" s="99" t="s">
        <v>986</v>
      </c>
      <c r="D14" s="99" t="s">
        <v>987</v>
      </c>
      <c r="E14" s="100">
        <v>12</v>
      </c>
      <c r="F14" s="99" t="s">
        <v>988</v>
      </c>
      <c r="G14" s="101" t="s">
        <v>989</v>
      </c>
    </row>
    <row r="15" spans="1:7" ht="30">
      <c r="A15" s="91" t="s">
        <v>990</v>
      </c>
      <c r="B15" s="92" t="s">
        <v>138</v>
      </c>
      <c r="C15" s="92" t="s">
        <v>991</v>
      </c>
      <c r="D15" s="92" t="s">
        <v>992</v>
      </c>
      <c r="E15" s="96">
        <v>4</v>
      </c>
      <c r="F15" s="92" t="s">
        <v>993</v>
      </c>
      <c r="G15" s="93" t="s">
        <v>994</v>
      </c>
    </row>
    <row r="16" spans="1:7" ht="30">
      <c r="A16" s="98" t="s">
        <v>995</v>
      </c>
      <c r="B16" s="99" t="s">
        <v>138</v>
      </c>
      <c r="C16" s="99" t="s">
        <v>996</v>
      </c>
      <c r="D16" s="99" t="s">
        <v>997</v>
      </c>
      <c r="E16" s="100">
        <v>6</v>
      </c>
      <c r="F16" s="99" t="s">
        <v>998</v>
      </c>
      <c r="G16" s="101" t="s">
        <v>999</v>
      </c>
    </row>
    <row r="17" spans="1:7" ht="30">
      <c r="A17" s="91" t="s">
        <v>1000</v>
      </c>
      <c r="B17" s="92" t="s">
        <v>138</v>
      </c>
      <c r="C17" s="92" t="s">
        <v>1001</v>
      </c>
      <c r="D17" s="92" t="s">
        <v>1002</v>
      </c>
      <c r="E17" s="96">
        <v>5</v>
      </c>
      <c r="F17" s="92" t="s">
        <v>1003</v>
      </c>
      <c r="G17" s="93" t="s">
        <v>1004</v>
      </c>
    </row>
    <row r="18" spans="1:7" ht="30">
      <c r="A18" s="98" t="s">
        <v>1005</v>
      </c>
      <c r="B18" s="99" t="s">
        <v>138</v>
      </c>
      <c r="C18" s="99" t="s">
        <v>1006</v>
      </c>
      <c r="D18" s="99" t="s">
        <v>1007</v>
      </c>
      <c r="E18" s="100">
        <v>6</v>
      </c>
      <c r="F18" s="99" t="s">
        <v>1008</v>
      </c>
      <c r="G18" s="101" t="s">
        <v>1009</v>
      </c>
    </row>
    <row r="19" spans="1:7" ht="30">
      <c r="A19" s="91" t="s">
        <v>1010</v>
      </c>
      <c r="B19" s="92" t="s">
        <v>138</v>
      </c>
      <c r="C19" s="92" t="s">
        <v>1011</v>
      </c>
      <c r="D19" s="92" t="s">
        <v>1012</v>
      </c>
      <c r="E19" s="96">
        <v>3</v>
      </c>
      <c r="F19" s="92" t="s">
        <v>1013</v>
      </c>
      <c r="G19" s="93" t="s">
        <v>1014</v>
      </c>
    </row>
    <row r="20" spans="1:7" ht="30">
      <c r="A20" s="102" t="s">
        <v>1015</v>
      </c>
      <c r="B20" s="103" t="s">
        <v>138</v>
      </c>
      <c r="C20" s="103" t="s">
        <v>1016</v>
      </c>
      <c r="D20" s="103" t="s">
        <v>1017</v>
      </c>
      <c r="E20" s="104">
        <v>4</v>
      </c>
      <c r="F20" s="103" t="s">
        <v>1018</v>
      </c>
      <c r="G20" s="105" t="s">
        <v>1019</v>
      </c>
    </row>
  </sheetData>
  <autoFilter ref="A4:G20" xr:uid="{43B302C3-85CA-49C1-A595-128DE44373C9}"/>
  <mergeCells count="2">
    <mergeCell ref="A1:G1"/>
    <mergeCell ref="A2:G2"/>
  </mergeCells>
  <phoneticPr fontId="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24801-5442-428C-A10D-108F93B1D70C}">
  <dimension ref="A1:M18"/>
  <sheetViews>
    <sheetView topLeftCell="B9" workbookViewId="0">
      <selection activeCell="G12" sqref="G12"/>
    </sheetView>
  </sheetViews>
  <sheetFormatPr defaultRowHeight="18"/>
  <cols>
    <col min="1" max="1" width="13.33203125" style="94" customWidth="1"/>
    <col min="2" max="2" width="9.08203125" style="97" customWidth="1"/>
    <col min="3" max="3" width="26.58203125" style="94" customWidth="1"/>
    <col min="4" max="6" width="33.33203125" style="94" customWidth="1"/>
  </cols>
  <sheetData>
    <row r="1" spans="1:13" ht="22">
      <c r="A1" s="166" t="s">
        <v>1020</v>
      </c>
      <c r="B1" s="167"/>
      <c r="C1" s="167"/>
      <c r="D1" s="167"/>
      <c r="E1" s="167"/>
      <c r="F1" s="167"/>
    </row>
    <row r="2" spans="1:13">
      <c r="A2" s="168" t="s">
        <v>1021</v>
      </c>
      <c r="B2" s="168"/>
      <c r="C2" s="168"/>
      <c r="D2" s="168"/>
      <c r="E2" s="168"/>
      <c r="F2" s="168"/>
    </row>
    <row r="4" spans="1:13">
      <c r="A4" s="87" t="s">
        <v>1022</v>
      </c>
      <c r="B4" s="87" t="s">
        <v>1023</v>
      </c>
      <c r="C4" s="87" t="s">
        <v>936</v>
      </c>
      <c r="D4" s="87" t="s">
        <v>1024</v>
      </c>
      <c r="E4" s="87" t="s">
        <v>1025</v>
      </c>
      <c r="F4" s="87" t="s">
        <v>1026</v>
      </c>
      <c r="G4" s="87" t="s">
        <v>1027</v>
      </c>
    </row>
    <row r="5" spans="1:13" ht="60">
      <c r="A5" s="110" t="s">
        <v>1028</v>
      </c>
      <c r="B5" s="107" t="s">
        <v>1029</v>
      </c>
      <c r="C5" s="108" t="s">
        <v>948</v>
      </c>
      <c r="D5" s="108" t="s">
        <v>1030</v>
      </c>
      <c r="E5" s="108" t="s">
        <v>1031</v>
      </c>
      <c r="F5" s="109" t="s">
        <v>1032</v>
      </c>
      <c r="G5" t="s">
        <v>1033</v>
      </c>
    </row>
    <row r="6" spans="1:13" ht="60">
      <c r="A6" s="98" t="s">
        <v>1034</v>
      </c>
      <c r="B6" s="100" t="s">
        <v>1035</v>
      </c>
      <c r="C6" s="99" t="s">
        <v>1036</v>
      </c>
      <c r="D6" s="99" t="s">
        <v>1037</v>
      </c>
      <c r="E6" s="99" t="s">
        <v>1038</v>
      </c>
      <c r="F6" s="101" t="s">
        <v>1039</v>
      </c>
      <c r="G6" t="s">
        <v>1040</v>
      </c>
    </row>
    <row r="7" spans="1:13" ht="45">
      <c r="A7" s="91" t="s">
        <v>1041</v>
      </c>
      <c r="B7" s="96" t="s">
        <v>1042</v>
      </c>
      <c r="C7" s="92" t="s">
        <v>1043</v>
      </c>
      <c r="D7" s="92" t="s">
        <v>1044</v>
      </c>
      <c r="E7" s="92" t="s">
        <v>1045</v>
      </c>
      <c r="F7" s="93" t="s">
        <v>1046</v>
      </c>
      <c r="G7" t="s">
        <v>1033</v>
      </c>
    </row>
    <row r="8" spans="1:13" ht="60">
      <c r="A8" s="98" t="s">
        <v>1047</v>
      </c>
      <c r="B8" s="100" t="s">
        <v>1048</v>
      </c>
      <c r="C8" s="99" t="s">
        <v>943</v>
      </c>
      <c r="D8" s="99" t="s">
        <v>942</v>
      </c>
      <c r="E8" s="99" t="s">
        <v>1049</v>
      </c>
      <c r="F8" s="101" t="s">
        <v>1050</v>
      </c>
      <c r="G8" t="s">
        <v>1033</v>
      </c>
    </row>
    <row r="9" spans="1:13" ht="45">
      <c r="A9" s="91" t="s">
        <v>1051</v>
      </c>
      <c r="B9" s="96" t="s">
        <v>1052</v>
      </c>
      <c r="C9" s="92" t="s">
        <v>967</v>
      </c>
      <c r="D9" s="92" t="s">
        <v>1053</v>
      </c>
      <c r="E9" s="92" t="s">
        <v>1054</v>
      </c>
      <c r="F9" s="93" t="s">
        <v>1055</v>
      </c>
      <c r="G9" t="s">
        <v>1040</v>
      </c>
    </row>
    <row r="10" spans="1:13" ht="45">
      <c r="A10" s="98" t="s">
        <v>1051</v>
      </c>
      <c r="B10" s="100" t="s">
        <v>1056</v>
      </c>
      <c r="C10" s="99" t="s">
        <v>1057</v>
      </c>
      <c r="D10" s="99" t="s">
        <v>1058</v>
      </c>
      <c r="E10" s="99" t="s">
        <v>1059</v>
      </c>
      <c r="F10" s="101" t="s">
        <v>1060</v>
      </c>
      <c r="G10" t="s">
        <v>1061</v>
      </c>
    </row>
    <row r="11" spans="1:13" ht="30">
      <c r="A11" s="91" t="s">
        <v>1051</v>
      </c>
      <c r="B11" s="96" t="s">
        <v>1062</v>
      </c>
      <c r="C11" s="92" t="s">
        <v>957</v>
      </c>
      <c r="D11" s="92" t="s">
        <v>1063</v>
      </c>
      <c r="E11" s="92" t="s">
        <v>1064</v>
      </c>
      <c r="F11" s="93" t="s">
        <v>1065</v>
      </c>
      <c r="G11" t="s">
        <v>1066</v>
      </c>
    </row>
    <row r="12" spans="1:13" ht="30">
      <c r="A12" s="98" t="s">
        <v>1051</v>
      </c>
      <c r="B12" s="100" t="s">
        <v>1067</v>
      </c>
      <c r="C12" s="99" t="s">
        <v>1068</v>
      </c>
      <c r="D12" s="99" t="s">
        <v>1069</v>
      </c>
      <c r="E12" s="99" t="s">
        <v>1070</v>
      </c>
      <c r="F12" s="101" t="s">
        <v>1071</v>
      </c>
      <c r="G12" t="s">
        <v>1040</v>
      </c>
      <c r="M12" t="s">
        <v>1072</v>
      </c>
    </row>
    <row r="13" spans="1:13" ht="30">
      <c r="A13" s="91" t="s">
        <v>1051</v>
      </c>
      <c r="B13" s="96" t="s">
        <v>1073</v>
      </c>
      <c r="C13" s="92" t="s">
        <v>1002</v>
      </c>
      <c r="D13" s="92" t="s">
        <v>1074</v>
      </c>
      <c r="E13" s="92" t="s">
        <v>1075</v>
      </c>
      <c r="F13" s="93" t="s">
        <v>1076</v>
      </c>
      <c r="G13" t="s">
        <v>1040</v>
      </c>
    </row>
    <row r="14" spans="1:13" ht="45">
      <c r="A14" s="98" t="s">
        <v>1077</v>
      </c>
      <c r="B14" s="100" t="s">
        <v>1078</v>
      </c>
      <c r="C14" s="99" t="s">
        <v>1079</v>
      </c>
      <c r="D14" s="99" t="s">
        <v>1080</v>
      </c>
      <c r="E14" s="99" t="s">
        <v>1081</v>
      </c>
      <c r="F14" s="101" t="s">
        <v>1082</v>
      </c>
      <c r="G14" t="s">
        <v>1083</v>
      </c>
    </row>
    <row r="15" spans="1:13" ht="72">
      <c r="A15" s="91" t="s">
        <v>1051</v>
      </c>
      <c r="B15" s="96" t="s">
        <v>1084</v>
      </c>
      <c r="C15" s="92" t="s">
        <v>972</v>
      </c>
      <c r="D15" s="92" t="s">
        <v>1085</v>
      </c>
      <c r="E15" s="92" t="s">
        <v>1086</v>
      </c>
      <c r="F15" s="93" t="s">
        <v>1087</v>
      </c>
      <c r="G15" s="65" t="s">
        <v>1088</v>
      </c>
    </row>
    <row r="16" spans="1:13" ht="45">
      <c r="A16" s="98" t="s">
        <v>1089</v>
      </c>
      <c r="B16" s="100" t="s">
        <v>1090</v>
      </c>
      <c r="C16" s="99" t="s">
        <v>977</v>
      </c>
      <c r="D16" s="99" t="s">
        <v>1091</v>
      </c>
      <c r="E16" s="99" t="s">
        <v>1092</v>
      </c>
      <c r="F16" s="101" t="s">
        <v>1093</v>
      </c>
      <c r="G16" t="s">
        <v>1040</v>
      </c>
    </row>
    <row r="17" spans="1:7" ht="30">
      <c r="A17" s="91" t="s">
        <v>1051</v>
      </c>
      <c r="B17" s="96" t="s">
        <v>1094</v>
      </c>
      <c r="C17" s="92" t="s">
        <v>1095</v>
      </c>
      <c r="D17" s="92" t="s">
        <v>1096</v>
      </c>
      <c r="E17" s="92" t="s">
        <v>1097</v>
      </c>
      <c r="F17" s="93" t="s">
        <v>1098</v>
      </c>
      <c r="G17" t="s">
        <v>1099</v>
      </c>
    </row>
    <row r="18" spans="1:7" ht="45">
      <c r="A18" s="102" t="s">
        <v>1100</v>
      </c>
      <c r="B18" s="104" t="s">
        <v>1101</v>
      </c>
      <c r="C18" s="103" t="s">
        <v>1012</v>
      </c>
      <c r="D18" s="103" t="s">
        <v>1102</v>
      </c>
      <c r="E18" s="103" t="s">
        <v>1103</v>
      </c>
      <c r="F18" s="105" t="s">
        <v>1104</v>
      </c>
      <c r="G18" t="s">
        <v>1105</v>
      </c>
    </row>
  </sheetData>
  <autoFilter ref="A4:F18" xr:uid="{44724801-5442-428C-A10D-108F93B1D70C}"/>
  <mergeCells count="2">
    <mergeCell ref="A1:F1"/>
    <mergeCell ref="A2:F2"/>
  </mergeCells>
  <phoneticPr fontId="6"/>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D438B-8E7D-450B-AFB3-EA7FA191C4F6}">
  <dimension ref="B21:B23"/>
  <sheetViews>
    <sheetView showGridLines="0" topLeftCell="A16" workbookViewId="0">
      <selection activeCell="H46" sqref="H46:H47"/>
    </sheetView>
  </sheetViews>
  <sheetFormatPr defaultRowHeight="18"/>
  <sheetData>
    <row r="21" spans="2:2">
      <c r="B21" t="s">
        <v>1106</v>
      </c>
    </row>
    <row r="23" spans="2:2">
      <c r="B23" t="s">
        <v>1107</v>
      </c>
    </row>
  </sheetData>
  <phoneticPr fontId="6"/>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9dc673b-9e34-4001-b69a-8484e8c1b815" xsi:nil="true"/>
    <lcf76f155ced4ddcb4097134ff3c332f xmlns="eaf77fbb-45de-4aa4-abbc-3940876a682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44122DCF930184593B5F5EE8FF3A528" ma:contentTypeVersion="" ma:contentTypeDescription="新しいドキュメントを作成します。" ma:contentTypeScope="" ma:versionID="e5dc5d4a3423539cb37cd30ed626df8b">
  <xsd:schema xmlns:xsd="http://www.w3.org/2001/XMLSchema" xmlns:xs="http://www.w3.org/2001/XMLSchema" xmlns:p="http://schemas.microsoft.com/office/2006/metadata/properties" xmlns:ns2="eaf77fbb-45de-4aa4-abbc-3940876a682e" xmlns:ns3="d9dc673b-9e34-4001-b69a-8484e8c1b815" targetNamespace="http://schemas.microsoft.com/office/2006/metadata/properties" ma:root="true" ma:fieldsID="08ed8eaac7d320d49dd6bfe316fa4f9f" ns2:_="" ns3:_="">
    <xsd:import namespace="eaf77fbb-45de-4aa4-abbc-3940876a682e"/>
    <xsd:import namespace="d9dc673b-9e34-4001-b69a-8484e8c1b8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f77fbb-45de-4aa4-abbc-3940876a68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401df557-eeb5-435c-8d7c-77a7fa12a98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dc673b-9e34-4001-b69a-8484e8c1b81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7ACE07C-24E7-4A20-84EC-F963B3920557}" ma:internalName="TaxCatchAll" ma:showField="CatchAllData" ma:web="{55ede487-031d-4cee-98ce-dc2c0f6afa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819445-9D9B-40FC-A51A-F8968314E6DD}">
  <ds:schemaRefs>
    <ds:schemaRef ds:uri="http://www.w3.org/XML/1998/namespace"/>
    <ds:schemaRef ds:uri="eaf77fbb-45de-4aa4-abbc-3940876a682e"/>
    <ds:schemaRef ds:uri="http://purl.org/dc/dcmitype/"/>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d9dc673b-9e34-4001-b69a-8484e8c1b815"/>
    <ds:schemaRef ds:uri="http://purl.org/dc/terms/"/>
  </ds:schemaRefs>
</ds:datastoreItem>
</file>

<file path=customXml/itemProps2.xml><?xml version="1.0" encoding="utf-8"?>
<ds:datastoreItem xmlns:ds="http://schemas.openxmlformats.org/officeDocument/2006/customXml" ds:itemID="{3B06AE07-98B2-4DD6-9CDA-0856738FDBD9}">
  <ds:schemaRefs>
    <ds:schemaRef ds:uri="http://schemas.microsoft.com/sharepoint/v3/contenttype/forms"/>
  </ds:schemaRefs>
</ds:datastoreItem>
</file>

<file path=customXml/itemProps3.xml><?xml version="1.0" encoding="utf-8"?>
<ds:datastoreItem xmlns:ds="http://schemas.openxmlformats.org/officeDocument/2006/customXml" ds:itemID="{87A1437A-1E80-4E1E-B8A9-4FCF0B9B4B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f77fbb-45de-4aa4-abbc-3940876a682e"/>
    <ds:schemaRef ds:uri="d9dc673b-9e34-4001-b69a-8484e8c1b8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07baa65-cc6e-4006-9b7d-93b21be63932}" enabled="1" method="Standard" siteId="{d1c1335e-f582-42a9-b6fe-5e1a16eb9bc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システム要求</vt:lpstr>
      <vt:lpstr>熱拡散防止サブシステム要求</vt:lpstr>
      <vt:lpstr>部品要求マトリクス（熱拡散サブシステム）</vt:lpstr>
      <vt:lpstr>相関性マトリクス</vt:lpstr>
      <vt:lpstr>相関性リスト</vt:lpstr>
      <vt:lpstr>他システム影響</vt:lpstr>
      <vt:lpstr>他システム</vt:lpstr>
      <vt:lpstr>類似ID抽出</vt:lpstr>
      <vt:lpstr>類似ID抽出_CD</vt:lpstr>
      <vt:lpstr>【0917】会議</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Ohira, Yuki/大平 雄貴</dc:creator>
  <cp:keywords/>
  <dc:description/>
  <cp:lastModifiedBy>Nakata, Atsushi/中田 惇</cp:lastModifiedBy>
  <cp:revision/>
  <dcterms:created xsi:type="dcterms:W3CDTF">2026-07-12T22:52:12Z</dcterms:created>
  <dcterms:modified xsi:type="dcterms:W3CDTF">2026-09-24T00:35:33Z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0x010100A44122DCF930184593B5F5EE8FF3A528</vt:lpwstr>
  </property>
  <property fmtid="{D5CDD505-2E9C-101B-9397-08002B2CF9AE}" pid="3" name="xd_ProgID">
    <vt:lpwstr/>
  </property>
  <property fmtid="{D5CDD505-2E9C-101B-9397-08002B2CF9AE}" pid="4" name="MediaServiceImageTags">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